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ose.cuellara\Downloads\"/>
    </mc:Choice>
  </mc:AlternateContent>
  <xr:revisionPtr revIDLastSave="0" documentId="13_ncr:1_{14DCFF5A-580C-4BFD-8EEB-D25B680DEE22}" xr6:coauthVersionLast="47" xr6:coauthVersionMax="47" xr10:uidLastSave="{00000000-0000-0000-0000-000000000000}"/>
  <bookViews>
    <workbookView xWindow="-110" yWindow="-110" windowWidth="19420" windowHeight="10300" activeTab="1" xr2:uid="{00000000-000D-0000-FFFF-FFFF00000000}"/>
  </bookViews>
  <sheets>
    <sheet name="Calificaciones " sheetId="1" r:id="rId1"/>
    <sheet name="Analisis grafico"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11" i="1"/>
  <c r="W5" i="1"/>
  <c r="W6" i="1"/>
  <c r="W10" i="1"/>
  <c r="W2" i="1"/>
  <c r="W7" i="1"/>
  <c r="W13" i="1"/>
  <c r="W8" i="1"/>
  <c r="W12" i="1"/>
  <c r="W9" i="1"/>
  <c r="H14" i="1"/>
  <c r="I14" i="1"/>
  <c r="J14" i="1"/>
  <c r="K14" i="1"/>
  <c r="L14" i="1"/>
  <c r="M14" i="1"/>
  <c r="N14" i="1"/>
  <c r="O14" i="1"/>
  <c r="P14" i="1"/>
  <c r="Q14" i="1"/>
  <c r="R14" i="1"/>
  <c r="S14" i="1"/>
  <c r="T14" i="1"/>
  <c r="U14" i="1"/>
  <c r="V14" i="1"/>
  <c r="W14" i="1" l="1"/>
</calcChain>
</file>

<file path=xl/sharedStrings.xml><?xml version="1.0" encoding="utf-8"?>
<sst xmlns="http://schemas.openxmlformats.org/spreadsheetml/2006/main" count="125" uniqueCount="91">
  <si>
    <t>ID</t>
  </si>
  <si>
    <t>Hora de inicio</t>
  </si>
  <si>
    <t>Hora de finalización</t>
  </si>
  <si>
    <t>Correo electrónico</t>
  </si>
  <si>
    <t xml:space="preserve">Nombre
</t>
  </si>
  <si>
    <t>Nombre de la Concesión </t>
  </si>
  <si>
    <t xml:space="preserve">Área / Cargo </t>
  </si>
  <si>
    <t xml:space="preserve">¿Cómo evalúa la eficiencia operativa de TeleVía en la gestión diaria de cruces y registro de transacciones?
</t>
  </si>
  <si>
    <t>¿Cómo califica los tiempos de respuesta y resolución de incidencias operativas?</t>
  </si>
  <si>
    <t>¿Qué tan satisfecho está con la precisión de las conciliaciones operativas entregadas por TeleVía?</t>
  </si>
  <si>
    <t>¿Cómo valora la facilidad de los procesos operativos (Ej. Calculo de comisiones, contraprestaciones)?</t>
  </si>
  <si>
    <t>¿Cómo valora la gestión de incobrables, discrepancias, (plazo, información, soporte)?</t>
  </si>
  <si>
    <t>¿Cómo evalúa la capacidad de monitoreo 24/7 y la detección temprana de incidencias por parte de TeleVía?</t>
  </si>
  <si>
    <t>¿Cómo califica la comunicación y notificación ante eventos críticos (alertas, incidencias en plaza, seguimiento)?</t>
  </si>
  <si>
    <t>¿Cómo evalúa la gestión en la dispersión de pagos y la liquidez entregada por TeleVía?</t>
  </si>
  <si>
    <t>¿Qué tan satisfecho está con la transparencia y detalle de los reportes financieros de pago?</t>
  </si>
  <si>
    <t>¿Qué tan satisfecho está con el acompañamiento del equipo comercial de TeleVía (accesibilidad, proactividad, apoyo, gestión )?</t>
  </si>
  <si>
    <t>¿Qué tan útil considera la información comercial que recibe de TeleVía para apoyar la toma de decisiones estratégicas?</t>
  </si>
  <si>
    <t>¿Qué tan útil encuentra las reuniones mensuales/Revisiones para la toma de decisiones y seguimiento de Solicitudes?</t>
  </si>
  <si>
    <t>¿Qué tan funcional considera el reponte de BI enviado ( aforos, tipo de aforo, segmento de aforo, frecuencia, aforo por hoarios, etc.) ?</t>
  </si>
  <si>
    <t>¿Cómo califica la comunicación proactiva de TeleVía sobre nuevas iniciativas, proyectos o cambios operativos?</t>
  </si>
  <si>
    <t>En general, ¿Qué tan satisfecho está con el servicio integral de TeleVía?</t>
  </si>
  <si>
    <t>¿Qué aspectos considera que TeleVía realiza correctamente y debe mantener?</t>
  </si>
  <si>
    <t>¿Qué aspectos considera que TeleVía realiza incorrectamente y debe corregir, (Que no este  mencionado arriba)?</t>
  </si>
  <si>
    <t>Comentarios adicionales / contacto para seguimiento (nombre y correo si desea respuesta personalizada):</t>
  </si>
  <si>
    <t>anonymous</t>
  </si>
  <si>
    <t>edgar mejia</t>
  </si>
  <si>
    <t>control ingresos</t>
  </si>
  <si>
    <t>transacciones</t>
  </si>
  <si>
    <t>incobrables y claridad de datos</t>
  </si>
  <si>
    <t>Luz Elena Navarro Espinosa</t>
  </si>
  <si>
    <t>Especialista de Analisis y Estadistica</t>
  </si>
  <si>
    <t>.</t>
  </si>
  <si>
    <t>Conocer a fondo su operación para asegurar que el cliente sea siempre  su prioridad</t>
  </si>
  <si>
    <t>Confiamos en que el equipo alcanzará el nivel de madurez necesario para los próximos desafíos</t>
  </si>
  <si>
    <t>Ladislao Alviso Molina</t>
  </si>
  <si>
    <t>Circuito Exterior Mexiquense</t>
  </si>
  <si>
    <t>Líder de Tráfico</t>
  </si>
  <si>
    <t>La atención comercial.</t>
  </si>
  <si>
    <t xml:space="preserve">Conciliaciones, pretensión de cambios unilaterales en los términos del contrato, dispersión de fondos. </t>
  </si>
  <si>
    <t xml:space="preserve">Se deben estrechar lazos y reforzar procedimientos, asumir los errores y aprender de ellos. </t>
  </si>
  <si>
    <t>Sergio Arturo Garcia Ramirez</t>
  </si>
  <si>
    <t>Lerma - Tenango</t>
  </si>
  <si>
    <t xml:space="preserve">Gerente de Operacion </t>
  </si>
  <si>
    <t xml:space="preserve">Transparencia en conciliaciones </t>
  </si>
  <si>
    <t>Puesta a punto del nuevo sistema</t>
  </si>
  <si>
    <t>Excelente atencion del personal</t>
  </si>
  <si>
    <t>Sandra Rivera</t>
  </si>
  <si>
    <t>subgerente de operaciones</t>
  </si>
  <si>
    <t>Acercamiento via comercial</t>
  </si>
  <si>
    <t>Sus migracion a sus sistemas</t>
  </si>
  <si>
    <t>Considero que es una empresa fuerte, pero deben cuidar mucho el envio, manejo de informacion diaria, comprobantes de pago.</t>
  </si>
  <si>
    <t>Victor Cabrera</t>
  </si>
  <si>
    <t>Especialista de Análisis</t>
  </si>
  <si>
    <t xml:space="preserve">Publicidad </t>
  </si>
  <si>
    <t>Procesamiento de la información principalmente Saldos, sistema nuevo</t>
  </si>
  <si>
    <t>Sin comentarios.</t>
  </si>
  <si>
    <t>Edgar Loya Cortés</t>
  </si>
  <si>
    <t>Auditoria y Estadística</t>
  </si>
  <si>
    <t xml:space="preserve">no puedo opinar </t>
  </si>
  <si>
    <t>llegar a acuerdos concisos para poder llevar a una conciliación de manera eficaz</t>
  </si>
  <si>
    <t>Ninguno</t>
  </si>
  <si>
    <t>Gema Barron Dominguez</t>
  </si>
  <si>
    <t>Superintendente de control de proyectos</t>
  </si>
  <si>
    <t>La entrega de detalles decenales en tiempo.</t>
  </si>
  <si>
    <t>Los tiempos de respuesta para retarificaciones, ya que sobrepasan los 90 días</t>
  </si>
  <si>
    <t>Observe que la incorporación de Jose Cuellara a TELEVIA, mejoro el seguimiento y la comunicación con esta concesionaria.</t>
  </si>
  <si>
    <t>Carlos Alberto Alcocer Guevara</t>
  </si>
  <si>
    <t xml:space="preserve">Supervía </t>
  </si>
  <si>
    <t>Gerente de Control Presupuestal, Compras y Servicios Generales</t>
  </si>
  <si>
    <t>Sin comentarios</t>
  </si>
  <si>
    <t>Atención al cliente, facturación de TAGs DDG (Exentos), conciliaciones, seguimiento a solicitudes, comunicación de cambios y migraciones que afectan la operación, la migración que están realizando ha sido sin coordinación de sus clientes</t>
  </si>
  <si>
    <t>LIZBETH GUZMAN MATAS</t>
  </si>
  <si>
    <t>CONCESIONARIA AUTOPISTA LIBRAMIENTO HERMOSILLO</t>
  </si>
  <si>
    <t>GERENTE ADMINISTRATIVO</t>
  </si>
  <si>
    <t xml:space="preserve">MEJOR COMUNICACION Y PRONTAS RESPUESTAS </t>
  </si>
  <si>
    <t>MEJORAR TIEMPOS DE ENTREGA DE INFORMACION</t>
  </si>
  <si>
    <t>Luis Ramón Rendón Huerta</t>
  </si>
  <si>
    <t>Libramiento Elevado de Puebla</t>
  </si>
  <si>
    <t>Operaciones</t>
  </si>
  <si>
    <t xml:space="preserve">tiene áreas de oportunidad en cuanto al envió de saldos. </t>
  </si>
  <si>
    <t xml:space="preserve">El proceso de conciliacion se debe mejorar, no debe demoprar tanto tiempo. esto por falta de trazabilidad no por falta de claridad. </t>
  </si>
  <si>
    <t xml:space="preserve">se debe mejorar el proceso de actualización de saldos. nuestros clientes no deben ser afectados por temas tecnologicos, se debe buscar una opcion de paso que garantice el cobro cuando algo falle. </t>
  </si>
  <si>
    <t>Marcos Ceron</t>
  </si>
  <si>
    <t>GANA</t>
  </si>
  <si>
    <t xml:space="preserve">Mejoro el  seguimiento a conciliaciones y temas de apoyo comercial </t>
  </si>
  <si>
    <t>Los incobrables</t>
  </si>
  <si>
    <t>ok</t>
  </si>
  <si>
    <t>ACCSA</t>
  </si>
  <si>
    <t>AUNORTE</t>
  </si>
  <si>
    <t>Total NPS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</si>
</sst>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d/yy\ h:mm:ss"/>
  </numFmts>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right/>
      <top style="thin">
        <color theme="4" tint="0.39997558519241921"/>
      </top>
      <bottom style="thin">
        <color theme="4" tint="0.39997558519241921"/>
      </bottom>
      <diagonal/>
    </border>
    <border>
      <left/>
      <right/>
      <top style="double">
        <color theme="4"/>
      </top>
      <bottom style="thin">
        <color theme="4" tint="0.39997558519241921"/>
      </bottom>
      <diagonal/>
    </border>
  </borders>
  <cellStyleXfs count="1">
    <xf numFmtId="0" fontId="0" fillId="0" borderId="0"/>
  </cellStyleXfs>
  <cellXfs count="10">
    <xf numFmtId="0" fontId="0" fillId="0" borderId="0" xfId="0"/>
    <xf numFmtId="165" fontId="0" fillId="0" borderId="0" xfId="0" applyNumberFormat="1"/>
    <xf numFmtId="0" fontId="0" fillId="0" borderId="0" xfId="0" applyAlignment="1">
      <alignment wrapText="1"/>
    </xf>
    <xf numFmtId="0" fontId="0" fillId="0" borderId="0" xfId="0" quotePrefix="1"/>
    <xf numFmtId="0" fontId="1" fillId="2" borderId="1" xfId="0" applyFont="1" applyFill="1" applyBorder="1"/>
    <xf numFmtId="0" fontId="0" fillId="0" borderId="0" xfId="0" applyNumberFormat="1"/>
    <xf numFmtId="0" fontId="2" fillId="0" borderId="2" xfId="0" applyNumberFormat="1" applyFont="1" applyBorder="1"/>
    <xf numFmtId="0" fontId="2" fillId="0" borderId="0" xfId="0" applyFont="1"/>
    <xf numFmtId="2" fontId="0" fillId="0" borderId="0" xfId="0" applyNumberFormat="1" applyAlignment="1">
      <alignment wrapText="1"/>
    </xf>
    <xf numFmtId="2" fontId="0" fillId="0" borderId="0" xfId="0" applyNumberFormat="1"/>
  </cellXfs>
  <cellStyles count="1">
    <cellStyle name="Normal" xfId="0" builtinId="0"/>
  </cellStyles>
  <dxfs count="53">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165" formatCode="m/d/yy\ h:mm:ss"/>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d/yy\ h:mm:ss"/>
    </dxf>
    <dxf>
      <numFmt numFmtId="165" formatCode="m/d/yy\ h:mm:ss"/>
    </dxf>
    <dxf>
      <numFmt numFmtId="0" formatCode="Genera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382563422048596"/>
          <c:y val="7.407407407407407E-2"/>
          <c:w val="0.49240289503794821"/>
          <c:h val="0.8416746864975212"/>
        </c:manualLayout>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'Analisis grafico'!$A$1:$O$1</c:f>
              <c:strCache>
                <c:ptCount val="15"/>
                <c:pt idx="0">
                  <c:v>¿Cómo evalúa la eficiencia operativa de TeleVía en la gestión diaria de cruces y registro de transacciones?
</c:v>
                </c:pt>
                <c:pt idx="1">
                  <c:v>¿Cómo califica los tiempos de respuesta y resolución de incidencias operativas?</c:v>
                </c:pt>
                <c:pt idx="2">
                  <c:v>¿Qué tan satisfecho está con la precisión de las conciliaciones operativas entregadas por TeleVía?</c:v>
                </c:pt>
                <c:pt idx="3">
                  <c:v>¿Cómo valora la facilidad de los procesos operativos (Ej. Calculo de comisiones, contraprestaciones)?</c:v>
                </c:pt>
                <c:pt idx="4">
                  <c:v>¿Cómo valora la gestión de incobrables, discrepancias, (plazo, información, soporte)?</c:v>
                </c:pt>
                <c:pt idx="5">
                  <c:v>¿Cómo evalúa la capacidad de monitoreo 24/7 y la detección temprana de incidencias por parte de TeleVía?</c:v>
                </c:pt>
                <c:pt idx="6">
                  <c:v>¿Cómo califica la comunicación y notificación ante eventos críticos (alertas, incidencias en plaza, seguimiento)?</c:v>
                </c:pt>
                <c:pt idx="7">
                  <c:v>¿Cómo evalúa la gestión en la dispersión de pagos y la liquidez entregada por TeleVía?</c:v>
                </c:pt>
                <c:pt idx="8">
                  <c:v>¿Qué tan satisfecho está con la transparencia y detalle de los reportes financieros de pago?</c:v>
                </c:pt>
                <c:pt idx="9">
                  <c:v>¿Qué tan satisfecho está con el acompañamiento del equipo comercial de TeleVía (accesibilidad, proactividad, apoyo, gestión )?</c:v>
                </c:pt>
                <c:pt idx="10">
                  <c:v>¿Qué tan útil considera la información comercial que recibe de TeleVía para apoyar la toma de decisiones estratégicas?</c:v>
                </c:pt>
                <c:pt idx="11">
                  <c:v>¿Qué tan útil encuentra las reuniones mensuales/Revisiones para la toma de decisiones y seguimiento de Solicitudes?</c:v>
                </c:pt>
                <c:pt idx="12">
                  <c:v>¿Qué tan funcional considera el reponte de BI enviado ( aforos, tipo de aforo, segmento de aforo, frecuencia, aforo por hoarios, etc.) ?</c:v>
                </c:pt>
                <c:pt idx="13">
                  <c:v>¿Cómo califica la comunicación proactiva de TeleVía sobre nuevas iniciativas, proyectos o cambios operativos?</c:v>
                </c:pt>
                <c:pt idx="14">
                  <c:v>En general, ¿Qué tan satisfecho está con el servicio integral de TeleVía?</c:v>
                </c:pt>
              </c:strCache>
            </c:strRef>
          </c:cat>
          <c:val>
            <c:numRef>
              <c:f>'Analisis grafico'!$A$2:$O$2</c:f>
              <c:numCache>
                <c:formatCode>General</c:formatCode>
                <c:ptCount val="15"/>
                <c:pt idx="0">
                  <c:v>7.083333333333333</c:v>
                </c:pt>
                <c:pt idx="1">
                  <c:v>6.583333333333333</c:v>
                </c:pt>
                <c:pt idx="2">
                  <c:v>6.25</c:v>
                </c:pt>
                <c:pt idx="3">
                  <c:v>6.833333333333333</c:v>
                </c:pt>
                <c:pt idx="4">
                  <c:v>5.75</c:v>
                </c:pt>
                <c:pt idx="5">
                  <c:v>6.916666666666667</c:v>
                </c:pt>
                <c:pt idx="6">
                  <c:v>6.5</c:v>
                </c:pt>
                <c:pt idx="7">
                  <c:v>7.916666666666667</c:v>
                </c:pt>
                <c:pt idx="8">
                  <c:v>7.416666666666667</c:v>
                </c:pt>
                <c:pt idx="9">
                  <c:v>8.4166666666666661</c:v>
                </c:pt>
                <c:pt idx="10">
                  <c:v>8.0833333333333339</c:v>
                </c:pt>
                <c:pt idx="11">
                  <c:v>7.5</c:v>
                </c:pt>
                <c:pt idx="12">
                  <c:v>7.416666666666667</c:v>
                </c:pt>
                <c:pt idx="13">
                  <c:v>7.333333333333333</c:v>
                </c:pt>
                <c:pt idx="14">
                  <c:v>6.916666666666667</c:v>
                </c:pt>
              </c:numCache>
            </c:numRef>
          </c:val>
          <c:extLst>
            <c:ext xmlns:c16="http://schemas.microsoft.com/office/drawing/2014/chart" uri="{C3380CC4-5D6E-409C-BE32-E72D297353CC}">
              <c16:uniqueId val="{00000000-6AD2-4C8E-860E-A16A91B03CA1}"/>
            </c:ext>
          </c:extLst>
        </c:ser>
        <c:dLbls>
          <c:dLblPos val="inEnd"/>
          <c:showLegendKey val="0"/>
          <c:showVal val="1"/>
          <c:showCatName val="0"/>
          <c:showSerName val="0"/>
          <c:showPercent val="0"/>
          <c:showBubbleSize val="0"/>
        </c:dLbls>
        <c:gapWidth val="100"/>
        <c:axId val="65147056"/>
        <c:axId val="65146096"/>
      </c:barChart>
      <c:catAx>
        <c:axId val="651470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65146096"/>
        <c:crosses val="autoZero"/>
        <c:auto val="1"/>
        <c:lblAlgn val="ctr"/>
        <c:lblOffset val="100"/>
        <c:noMultiLvlLbl val="0"/>
      </c:catAx>
      <c:valAx>
        <c:axId val="6514609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65147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330200</xdr:colOff>
      <xdr:row>2</xdr:row>
      <xdr:rowOff>177800</xdr:rowOff>
    </xdr:from>
    <xdr:to>
      <xdr:col>14</xdr:col>
      <xdr:colOff>44450</xdr:colOff>
      <xdr:row>21</xdr:row>
      <xdr:rowOff>25400</xdr:rowOff>
    </xdr:to>
    <xdr:graphicFrame macro="">
      <xdr:nvGraphicFramePr>
        <xdr:cNvPr id="6" name="Gráfico 5">
          <a:extLst>
            <a:ext uri="{FF2B5EF4-FFF2-40B4-BE49-F238E27FC236}">
              <a16:creationId xmlns:a16="http://schemas.microsoft.com/office/drawing/2014/main" id="{44140C44-A73D-40CE-6123-1EEB1FECF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se.cuellara\Downloads\Copia%20de%20_%20Encuesta%20de%20Satisfacci&#243;n-Servicio%20Integral%20TeleV&#237;a%20Q4%202025.xlsx" TargetMode="External"/><Relationship Id="rId1" Type="http://schemas.openxmlformats.org/officeDocument/2006/relationships/externalLinkPath" Target="Copia%20de%20_%20Encuesta%20de%20Satisfacci&#243;n-Servicio%20Integral%20TeleV&#237;a%20Q4%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 "/>
      <sheetName val="Analisis grafico "/>
      <sheetName val="Hoja3"/>
    </sheetNames>
    <sheetDataSet>
      <sheetData sheetId="0"/>
      <sheetData sheetId="1">
        <row r="1">
          <cell r="A1" t="str">
            <v xml:space="preserve">¿Cómo evalúa la eficiencia operativa de TeleVía en la gestión diaria de cruces y registro de transacciones?
</v>
          </cell>
          <cell r="B1" t="str">
            <v>¿Cómo califica los tiempos de respuesta y resolución de incidencias operativas?</v>
          </cell>
          <cell r="C1" t="str">
            <v>¿Qué tan satisfecho está con la precisión de las conciliaciones operativas entregadas por TeleVía?</v>
          </cell>
          <cell r="D1" t="str">
            <v>¿Cómo valora la facilidad de los procesos operativos (Ej. Calculo de comisiones, contraprestaciones)?</v>
          </cell>
          <cell r="E1" t="str">
            <v>¿Cómo valora la gestión de incobrables, discrepancias, (plazo, información, soporte)?</v>
          </cell>
          <cell r="F1" t="str">
            <v>¿Cómo evalúa la capacidad de monitoreo 24/7 y la detección temprana de incidencias por parte de TeleVía?</v>
          </cell>
          <cell r="G1" t="str">
            <v>¿Qué tan claros y útiles son los reportes (cifras de control) de monitoreo entregados (frecuencia, formato, )?</v>
          </cell>
          <cell r="H1" t="str">
            <v>¿Cómo califica la comunicación y notificación ante eventos críticos (alertas, incidencias en plaza, seguimiento)?</v>
          </cell>
          <cell r="I1" t="str">
            <v xml:space="preserve">¿Está satisfecho con las herramientas de autogestión/consulta (ej. consulta de saldos, accesos a logs)?
</v>
          </cell>
          <cell r="J1" t="str">
            <v>¿Cómo evalúa la gestión en la dispersión de pagos y la liquidez entregada por TeleVía?</v>
          </cell>
          <cell r="K1" t="str">
            <v>¿Qué tan satisfecho está con la transparencia y detalle de los reportes financieros?</v>
          </cell>
          <cell r="L1" t="str">
            <v>¿Qué tan claro y oportuno considera el proceso de conciliación financiera (tiempos, formatos, cédulas)?</v>
          </cell>
          <cell r="M1" t="str">
            <v>¿Cómo evalúa la atención y seguimiento de su ejecutivo comercial  asignado (accesibilidad, proactividad, apoyo, gestión )?</v>
          </cell>
          <cell r="N1" t="str">
            <v>¿Qué tan útil encuentra las reuniones mensuales/Revisiones para la toma de decisiones y seguimiento de Solicitudes?</v>
          </cell>
          <cell r="O1" t="str">
            <v>¿Cómo califica la comunicación proactiva de TeleVía sobre nuevas iniciativas, proyectos o cambios operativos?</v>
          </cell>
          <cell r="P1" t="str">
            <v>En general, ¿Qué tan satisfecho está con el servicio integral de TeleVía?</v>
          </cell>
        </row>
        <row r="2">
          <cell r="A2">
            <v>7</v>
          </cell>
          <cell r="B2">
            <v>5.9285714285714288</v>
          </cell>
          <cell r="C2">
            <v>6.0714285714285712</v>
          </cell>
          <cell r="D2">
            <v>7.5714285714285712</v>
          </cell>
          <cell r="E2">
            <v>5.0714285714285712</v>
          </cell>
          <cell r="F2">
            <v>6.2142857142857144</v>
          </cell>
          <cell r="G2">
            <v>7.2857142857142856</v>
          </cell>
          <cell r="H2">
            <v>5.7857142857142856</v>
          </cell>
          <cell r="I2">
            <v>6</v>
          </cell>
          <cell r="J2">
            <v>7.5714285714285712</v>
          </cell>
          <cell r="K2">
            <v>8.2142857142857135</v>
          </cell>
          <cell r="L2">
            <v>6.4285714285714288</v>
          </cell>
          <cell r="M2">
            <v>8.7857142857142865</v>
          </cell>
          <cell r="N2">
            <v>8</v>
          </cell>
          <cell r="O2">
            <v>7.2857142857142856</v>
          </cell>
          <cell r="P2">
            <v>7</v>
          </cell>
        </row>
      </sheetData>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14" totalsRowCount="1" headerRowDxfId="52">
  <autoFilter ref="A1:Z13" xr:uid="{00000000-0009-0000-0100-000001000000}"/>
  <sortState xmlns:xlrd2="http://schemas.microsoft.com/office/spreadsheetml/2017/richdata2" ref="A2:Z13">
    <sortCondition ref="F1:F13"/>
  </sortState>
  <tableColumns count="26">
    <tableColumn id="1" xr3:uid="{00000000-0010-0000-0000-000001000000}" name="ID" dataDxfId="51" totalsRowDxfId="25"/>
    <tableColumn id="2" xr3:uid="{00000000-0010-0000-0000-000002000000}" name="Hora de inicio" dataDxfId="50" totalsRowDxfId="24"/>
    <tableColumn id="3" xr3:uid="{00000000-0010-0000-0000-000003000000}" name="Hora de finalización" dataDxfId="49" totalsRowDxfId="23"/>
    <tableColumn id="4" xr3:uid="{00000000-0010-0000-0000-000004000000}" name="Correo electrónico" dataDxfId="48" totalsRowDxfId="22"/>
    <tableColumn id="10" xr3:uid="{00000000-0010-0000-0000-00000A000000}" name="Nombre_x000a_" dataDxfId="47" totalsRowDxfId="21"/>
    <tableColumn id="13" xr3:uid="{00000000-0010-0000-0000-00000D000000}" name="Nombre de la Concesión " dataDxfId="46" totalsRowDxfId="20"/>
    <tableColumn id="16" xr3:uid="{00000000-0010-0000-0000-000010000000}" name="Área / Cargo " dataDxfId="45" totalsRowDxfId="19"/>
    <tableColumn id="19" xr3:uid="{00000000-0010-0000-0000-000013000000}" name="¿Cómo evalúa la eficiencia operativa de TeleVía en la gestión diaria de cruces y registro de transacciones?_x000a_" totalsRowFunction="custom" dataDxfId="44" totalsRowDxfId="18">
      <totalsRowFormula>SUBTOTAL(101,H2:H13)</totalsRowFormula>
    </tableColumn>
    <tableColumn id="22" xr3:uid="{00000000-0010-0000-0000-000016000000}" name="¿Cómo califica los tiempos de respuesta y resolución de incidencias operativas?" totalsRowFunction="custom" dataDxfId="43" totalsRowDxfId="17">
      <totalsRowFormula>SUBTOTAL(101,I2:I13)</totalsRowFormula>
    </tableColumn>
    <tableColumn id="25" xr3:uid="{00000000-0010-0000-0000-000019000000}" name="¿Qué tan satisfecho está con la precisión de las conciliaciones operativas entregadas por TeleVía?" totalsRowFunction="custom" dataDxfId="42" totalsRowDxfId="16">
      <totalsRowFormula>SUBTOTAL(101,J2:J13)</totalsRowFormula>
    </tableColumn>
    <tableColumn id="28" xr3:uid="{00000000-0010-0000-0000-00001C000000}" name="¿Cómo valora la facilidad de los procesos operativos (Ej. Calculo de comisiones, contraprestaciones)?" totalsRowFunction="custom" dataDxfId="41" totalsRowDxfId="15">
      <totalsRowFormula>SUBTOTAL(101,K2:K13)</totalsRowFormula>
    </tableColumn>
    <tableColumn id="31" xr3:uid="{00000000-0010-0000-0000-00001F000000}" name="¿Cómo valora la gestión de incobrables, discrepancias, (plazo, información, soporte)?" totalsRowFunction="custom" dataDxfId="40" totalsRowDxfId="14">
      <totalsRowFormula>SUBTOTAL(101,L2:L13)</totalsRowFormula>
    </tableColumn>
    <tableColumn id="34" xr3:uid="{00000000-0010-0000-0000-000022000000}" name="¿Cómo evalúa la capacidad de monitoreo 24/7 y la detección temprana de incidencias por parte de TeleVía?" totalsRowFunction="custom" dataDxfId="39" totalsRowDxfId="13">
      <totalsRowFormula>SUBTOTAL(101,M2:M13)</totalsRowFormula>
    </tableColumn>
    <tableColumn id="37" xr3:uid="{00000000-0010-0000-0000-000025000000}" name="¿Cómo califica la comunicación y notificación ante eventos críticos (alertas, incidencias en plaza, seguimiento)?" totalsRowFunction="custom" dataDxfId="38" totalsRowDxfId="12">
      <totalsRowFormula>SUBTOTAL(101,N2:N13)</totalsRowFormula>
    </tableColumn>
    <tableColumn id="40" xr3:uid="{00000000-0010-0000-0000-000028000000}" name="¿Cómo evalúa la gestión en la dispersión de pagos y la liquidez entregada por TeleVía?" totalsRowFunction="custom" dataDxfId="37" totalsRowDxfId="11">
      <totalsRowFormula>SUBTOTAL(101,O2:O13)</totalsRowFormula>
    </tableColumn>
    <tableColumn id="43" xr3:uid="{00000000-0010-0000-0000-00002B000000}" name="¿Qué tan satisfecho está con la transparencia y detalle de los reportes financieros de pago?" totalsRowFunction="custom" dataDxfId="36" totalsRowDxfId="10">
      <totalsRowFormula>SUBTOTAL(101,P2:P13)</totalsRowFormula>
    </tableColumn>
    <tableColumn id="46" xr3:uid="{00000000-0010-0000-0000-00002E000000}" name="¿Qué tan satisfecho está con el acompañamiento del equipo comercial de TeleVía (accesibilidad, proactividad, apoyo, gestión )?" totalsRowFunction="custom" dataDxfId="35" totalsRowDxfId="9">
      <totalsRowFormula>SUBTOTAL(101,Q2:Q13)</totalsRowFormula>
    </tableColumn>
    <tableColumn id="49" xr3:uid="{00000000-0010-0000-0000-000031000000}" name="¿Qué tan útil considera la información comercial que recibe de TeleVía para apoyar la toma de decisiones estratégicas?" totalsRowFunction="custom" dataDxfId="34" totalsRowDxfId="8">
      <totalsRowFormula>SUBTOTAL(101,R2:R13)</totalsRowFormula>
    </tableColumn>
    <tableColumn id="52" xr3:uid="{00000000-0010-0000-0000-000034000000}" name="¿Qué tan útil encuentra las reuniones mensuales/Revisiones para la toma de decisiones y seguimiento de Solicitudes?" totalsRowFunction="custom" dataDxfId="33" totalsRowDxfId="7">
      <totalsRowFormula>SUBTOTAL(101,S2:S13)</totalsRowFormula>
    </tableColumn>
    <tableColumn id="55" xr3:uid="{00000000-0010-0000-0000-000037000000}" name="¿Qué tan funcional considera el reponte de BI enviado ( aforos, tipo de aforo, segmento de aforo, frecuencia, aforo por hoarios, etc.) ?" totalsRowFunction="custom" dataDxfId="32" totalsRowDxfId="6">
      <totalsRowFormula>SUBTOTAL(101,T2:T13)</totalsRowFormula>
    </tableColumn>
    <tableColumn id="58" xr3:uid="{00000000-0010-0000-0000-00003A000000}" name="¿Cómo califica la comunicación proactiva de TeleVía sobre nuevas iniciativas, proyectos o cambios operativos?" totalsRowFunction="custom" dataDxfId="31" totalsRowDxfId="5">
      <totalsRowFormula>SUBTOTAL(101,U2:U13)</totalsRowFormula>
    </tableColumn>
    <tableColumn id="61" xr3:uid="{00000000-0010-0000-0000-00003D000000}" name="En general, ¿Qué tan satisfecho está con el servicio integral de TeleVía?" totalsRowFunction="custom" dataDxfId="30" totalsRowDxfId="4">
      <totalsRowFormula>SUBTOTAL(101,V2:V13)</totalsRowFormula>
    </tableColumn>
    <tableColumn id="5" xr3:uid="{C75258FA-78C8-4D7B-A21E-64F22E4F6548}" name="Total NPS" totalsRowFunction="average" dataDxfId="26" totalsRowDxfId="3">
      <calculatedColumnFormula>AVERAGE(Table1[[#This Row],[¿Cómo evalúa la eficiencia operativa de TeleVía en la gestión diaria de cruces y registro de transacciones?
]:[En general, ¿Qué tan satisfecho está con el servicio integral de TeleVía?]])</calculatedColumnFormula>
    </tableColumn>
    <tableColumn id="64" xr3:uid="{00000000-0010-0000-0000-000040000000}" name="¿Qué aspectos considera que TeleVía realiza correctamente y debe mantener?" dataDxfId="29" totalsRowDxfId="2"/>
    <tableColumn id="67" xr3:uid="{00000000-0010-0000-0000-000043000000}" name="¿Qué aspectos considera que TeleVía realiza incorrectamente y debe corregir, (Que no este  mencionado arriba)?" dataDxfId="28" totalsRowDxfId="1"/>
    <tableColumn id="70" xr3:uid="{00000000-0010-0000-0000-000046000000}" name="Comentarios adicionales / contacto para seguimiento (nombre y correo si desea respuesta personalizada):" dataDxfId="27"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
  <sheetViews>
    <sheetView topLeftCell="E1" workbookViewId="0">
      <pane ySplit="1" topLeftCell="A2" activePane="bottomLeft" state="frozen"/>
      <selection activeCell="J1" sqref="J1"/>
      <selection pane="bottomLeft" activeCell="F1" sqref="F1"/>
    </sheetView>
  </sheetViews>
  <sheetFormatPr baseColWidth="10" defaultColWidth="8.7265625" defaultRowHeight="14.5" x14ac:dyDescent="0.35"/>
  <cols>
    <col min="1" max="4" width="20" hidden="1" customWidth="1"/>
    <col min="5" max="22" width="20" bestFit="1" customWidth="1"/>
    <col min="23" max="23" width="20" style="9" customWidth="1"/>
    <col min="24" max="26" width="20" bestFit="1" customWidth="1"/>
  </cols>
  <sheetData>
    <row r="1" spans="1:26" s="2" customFormat="1" ht="116"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8" t="s">
        <v>90</v>
      </c>
      <c r="X1" s="2" t="s">
        <v>22</v>
      </c>
      <c r="Y1" s="2" t="s">
        <v>23</v>
      </c>
      <c r="Z1" s="2" t="s">
        <v>24</v>
      </c>
    </row>
    <row r="2" spans="1:26" x14ac:dyDescent="0.35">
      <c r="A2">
        <v>24</v>
      </c>
      <c r="B2" s="1">
        <v>46125.673344907402</v>
      </c>
      <c r="C2" s="1">
        <v>46125.676064814797</v>
      </c>
      <c r="D2" t="s">
        <v>25</v>
      </c>
      <c r="E2" t="s">
        <v>47</v>
      </c>
      <c r="F2" t="s">
        <v>88</v>
      </c>
      <c r="G2" t="s">
        <v>48</v>
      </c>
      <c r="H2">
        <v>5</v>
      </c>
      <c r="I2">
        <v>5</v>
      </c>
      <c r="J2">
        <v>6</v>
      </c>
      <c r="K2">
        <v>6</v>
      </c>
      <c r="L2">
        <v>6</v>
      </c>
      <c r="M2">
        <v>6</v>
      </c>
      <c r="N2">
        <v>6</v>
      </c>
      <c r="O2">
        <v>8</v>
      </c>
      <c r="P2">
        <v>5</v>
      </c>
      <c r="Q2">
        <v>9</v>
      </c>
      <c r="R2">
        <v>9</v>
      </c>
      <c r="S2">
        <v>7</v>
      </c>
      <c r="T2">
        <v>5</v>
      </c>
      <c r="U2">
        <v>7</v>
      </c>
      <c r="V2">
        <v>6</v>
      </c>
      <c r="W2" s="9">
        <f>AVERAGE(Table1[[#This Row],[¿Cómo evalúa la eficiencia operativa de TeleVía en la gestión diaria de cruces y registro de transacciones?
]:[En general, ¿Qué tan satisfecho está con el servicio integral de TeleVía?]])</f>
        <v>6.4</v>
      </c>
      <c r="X2" t="s">
        <v>49</v>
      </c>
      <c r="Y2" t="s">
        <v>50</v>
      </c>
      <c r="Z2" t="s">
        <v>51</v>
      </c>
    </row>
    <row r="3" spans="1:26" x14ac:dyDescent="0.35">
      <c r="A3">
        <v>25</v>
      </c>
      <c r="B3" s="1">
        <v>46133.710462962998</v>
      </c>
      <c r="C3" s="1">
        <v>46133.724502314799</v>
      </c>
      <c r="D3" t="s">
        <v>25</v>
      </c>
      <c r="E3" t="s">
        <v>52</v>
      </c>
      <c r="F3" t="s">
        <v>89</v>
      </c>
      <c r="G3" t="s">
        <v>53</v>
      </c>
      <c r="H3">
        <v>6</v>
      </c>
      <c r="I3">
        <v>6</v>
      </c>
      <c r="J3">
        <v>4</v>
      </c>
      <c r="K3">
        <v>7</v>
      </c>
      <c r="L3">
        <v>4</v>
      </c>
      <c r="M3">
        <v>6</v>
      </c>
      <c r="N3">
        <v>6</v>
      </c>
      <c r="O3">
        <v>7</v>
      </c>
      <c r="P3">
        <v>7</v>
      </c>
      <c r="Q3">
        <v>8</v>
      </c>
      <c r="R3">
        <v>8</v>
      </c>
      <c r="S3">
        <v>7</v>
      </c>
      <c r="T3">
        <v>5</v>
      </c>
      <c r="U3">
        <v>6</v>
      </c>
      <c r="V3">
        <v>7</v>
      </c>
      <c r="W3" s="9">
        <f>AVERAGE(Table1[[#This Row],[¿Cómo evalúa la eficiencia operativa de TeleVía en la gestión diaria de cruces y registro de transacciones?
]:[En general, ¿Qué tan satisfecho está con el servicio integral de TeleVía?]])</f>
        <v>6.2666666666666666</v>
      </c>
      <c r="X3" t="s">
        <v>54</v>
      </c>
      <c r="Y3" t="s">
        <v>55</v>
      </c>
      <c r="Z3" t="s">
        <v>56</v>
      </c>
    </row>
    <row r="4" spans="1:26" x14ac:dyDescent="0.35">
      <c r="A4">
        <v>26</v>
      </c>
      <c r="B4" s="1">
        <v>46133.748668981498</v>
      </c>
      <c r="C4" s="1">
        <v>46133.757326388899</v>
      </c>
      <c r="D4" t="s">
        <v>25</v>
      </c>
      <c r="E4" t="s">
        <v>57</v>
      </c>
      <c r="F4" t="s">
        <v>89</v>
      </c>
      <c r="G4" t="s">
        <v>58</v>
      </c>
      <c r="H4">
        <v>7</v>
      </c>
      <c r="I4">
        <v>7</v>
      </c>
      <c r="J4">
        <v>5</v>
      </c>
      <c r="K4">
        <v>5</v>
      </c>
      <c r="L4">
        <v>5</v>
      </c>
      <c r="M4">
        <v>6</v>
      </c>
      <c r="N4">
        <v>7</v>
      </c>
      <c r="O4">
        <v>7</v>
      </c>
      <c r="P4">
        <v>6</v>
      </c>
      <c r="Q4">
        <v>7</v>
      </c>
      <c r="R4">
        <v>7</v>
      </c>
      <c r="S4">
        <v>6</v>
      </c>
      <c r="T4">
        <v>7</v>
      </c>
      <c r="U4">
        <v>7</v>
      </c>
      <c r="V4">
        <v>6</v>
      </c>
      <c r="W4" s="9">
        <f>AVERAGE(Table1[[#This Row],[¿Cómo evalúa la eficiencia operativa de TeleVía en la gestión diaria de cruces y registro de transacciones?
]:[En general, ¿Qué tan satisfecho está con el servicio integral de TeleVía?]])</f>
        <v>6.333333333333333</v>
      </c>
      <c r="X4" t="s">
        <v>59</v>
      </c>
      <c r="Y4" t="s">
        <v>60</v>
      </c>
      <c r="Z4" t="s">
        <v>61</v>
      </c>
    </row>
    <row r="5" spans="1:26" x14ac:dyDescent="0.35">
      <c r="A5">
        <v>21</v>
      </c>
      <c r="B5" s="1">
        <v>46120.595613425903</v>
      </c>
      <c r="C5" s="1">
        <v>46120.615729166697</v>
      </c>
      <c r="D5" t="s">
        <v>25</v>
      </c>
      <c r="E5" t="s">
        <v>30</v>
      </c>
      <c r="F5" t="s">
        <v>36</v>
      </c>
      <c r="G5" t="s">
        <v>31</v>
      </c>
      <c r="H5">
        <v>3</v>
      </c>
      <c r="I5">
        <v>3</v>
      </c>
      <c r="J5">
        <v>4</v>
      </c>
      <c r="K5">
        <v>5</v>
      </c>
      <c r="L5">
        <v>3</v>
      </c>
      <c r="M5">
        <v>5</v>
      </c>
      <c r="N5">
        <v>3</v>
      </c>
      <c r="O5">
        <v>5</v>
      </c>
      <c r="P5">
        <v>5</v>
      </c>
      <c r="Q5">
        <v>4</v>
      </c>
      <c r="R5">
        <v>5</v>
      </c>
      <c r="S5">
        <v>4</v>
      </c>
      <c r="T5">
        <v>5</v>
      </c>
      <c r="U5">
        <v>4</v>
      </c>
      <c r="V5">
        <v>4</v>
      </c>
      <c r="W5" s="9">
        <f>AVERAGE(Table1[[#This Row],[¿Cómo evalúa la eficiencia operativa de TeleVía en la gestión diaria de cruces y registro de transacciones?
]:[En general, ¿Qué tan satisfecho está con el servicio integral de TeleVía?]])</f>
        <v>4.1333333333333337</v>
      </c>
      <c r="X5" s="3" t="s">
        <v>32</v>
      </c>
      <c r="Y5" t="s">
        <v>33</v>
      </c>
      <c r="Z5" t="s">
        <v>34</v>
      </c>
    </row>
    <row r="6" spans="1:26" x14ac:dyDescent="0.35">
      <c r="A6">
        <v>22</v>
      </c>
      <c r="B6" s="1">
        <v>46120.8378240741</v>
      </c>
      <c r="C6" s="1">
        <v>46120.841539351903</v>
      </c>
      <c r="D6" t="s">
        <v>25</v>
      </c>
      <c r="E6" t="s">
        <v>35</v>
      </c>
      <c r="F6" t="s">
        <v>36</v>
      </c>
      <c r="G6" t="s">
        <v>37</v>
      </c>
      <c r="H6">
        <v>7</v>
      </c>
      <c r="I6">
        <v>7</v>
      </c>
      <c r="J6">
        <v>4</v>
      </c>
      <c r="K6">
        <v>5</v>
      </c>
      <c r="L6">
        <v>4</v>
      </c>
      <c r="M6">
        <v>6</v>
      </c>
      <c r="N6">
        <v>5</v>
      </c>
      <c r="O6">
        <v>4</v>
      </c>
      <c r="P6">
        <v>5</v>
      </c>
      <c r="Q6">
        <v>10</v>
      </c>
      <c r="R6">
        <v>7</v>
      </c>
      <c r="S6">
        <v>5</v>
      </c>
      <c r="T6">
        <v>5</v>
      </c>
      <c r="U6">
        <v>8</v>
      </c>
      <c r="V6">
        <v>6</v>
      </c>
      <c r="W6" s="9">
        <f>AVERAGE(Table1[[#This Row],[¿Cómo evalúa la eficiencia operativa de TeleVía en la gestión diaria de cruces y registro de transacciones?
]:[En general, ¿Qué tan satisfecho está con el servicio integral de TeleVía?]])</f>
        <v>5.8666666666666663</v>
      </c>
      <c r="X6" t="s">
        <v>38</v>
      </c>
      <c r="Y6" t="s">
        <v>39</v>
      </c>
      <c r="Z6" t="s">
        <v>40</v>
      </c>
    </row>
    <row r="7" spans="1:26" x14ac:dyDescent="0.35">
      <c r="A7">
        <v>27</v>
      </c>
      <c r="B7" s="1">
        <v>46134.454143518502</v>
      </c>
      <c r="C7" s="1">
        <v>46134.457523148099</v>
      </c>
      <c r="D7" t="s">
        <v>25</v>
      </c>
      <c r="E7" t="s">
        <v>62</v>
      </c>
      <c r="F7" t="s">
        <v>73</v>
      </c>
      <c r="G7" t="s">
        <v>63</v>
      </c>
      <c r="H7">
        <v>10</v>
      </c>
      <c r="I7">
        <v>10</v>
      </c>
      <c r="J7">
        <v>10</v>
      </c>
      <c r="K7">
        <v>10</v>
      </c>
      <c r="L7">
        <v>8</v>
      </c>
      <c r="M7">
        <v>10</v>
      </c>
      <c r="N7">
        <v>9</v>
      </c>
      <c r="O7">
        <v>10</v>
      </c>
      <c r="P7">
        <v>10</v>
      </c>
      <c r="Q7">
        <v>10</v>
      </c>
      <c r="R7">
        <v>10</v>
      </c>
      <c r="S7">
        <v>9</v>
      </c>
      <c r="T7">
        <v>10</v>
      </c>
      <c r="U7">
        <v>10</v>
      </c>
      <c r="V7">
        <v>9</v>
      </c>
      <c r="W7" s="9">
        <f>AVERAGE(Table1[[#This Row],[¿Cómo evalúa la eficiencia operativa de TeleVía en la gestión diaria de cruces y registro de transacciones?
]:[En general, ¿Qué tan satisfecho está con el servicio integral de TeleVía?]])</f>
        <v>9.6666666666666661</v>
      </c>
      <c r="X7" t="s">
        <v>64</v>
      </c>
      <c r="Y7" t="s">
        <v>65</v>
      </c>
      <c r="Z7" t="s">
        <v>66</v>
      </c>
    </row>
    <row r="8" spans="1:26" x14ac:dyDescent="0.35">
      <c r="A8">
        <v>29</v>
      </c>
      <c r="B8" s="1">
        <v>46137.573761574102</v>
      </c>
      <c r="C8" s="1">
        <v>46137.575671296298</v>
      </c>
      <c r="D8" t="s">
        <v>25</v>
      </c>
      <c r="E8" t="s">
        <v>72</v>
      </c>
      <c r="F8" t="s">
        <v>73</v>
      </c>
      <c r="G8" t="s">
        <v>74</v>
      </c>
      <c r="H8">
        <v>9</v>
      </c>
      <c r="I8">
        <v>7</v>
      </c>
      <c r="J8">
        <v>8</v>
      </c>
      <c r="K8">
        <v>7</v>
      </c>
      <c r="L8">
        <v>7</v>
      </c>
      <c r="M8">
        <v>7</v>
      </c>
      <c r="N8">
        <v>9</v>
      </c>
      <c r="O8">
        <v>9</v>
      </c>
      <c r="P8">
        <v>8</v>
      </c>
      <c r="Q8">
        <v>9</v>
      </c>
      <c r="R8">
        <v>8</v>
      </c>
      <c r="S8">
        <v>8</v>
      </c>
      <c r="T8">
        <v>9</v>
      </c>
      <c r="U8">
        <v>9</v>
      </c>
      <c r="V8">
        <v>8</v>
      </c>
      <c r="W8" s="9">
        <f>AVERAGE(Table1[[#This Row],[¿Cómo evalúa la eficiencia operativa de TeleVía en la gestión diaria de cruces y registro de transacciones?
]:[En general, ¿Qué tan satisfecho está con el servicio integral de TeleVía?]])</f>
        <v>8.1333333333333329</v>
      </c>
      <c r="X8" t="s">
        <v>75</v>
      </c>
      <c r="Y8" t="s">
        <v>76</v>
      </c>
      <c r="Z8" s="3" t="s">
        <v>32</v>
      </c>
    </row>
    <row r="9" spans="1:26" x14ac:dyDescent="0.35">
      <c r="A9">
        <v>31</v>
      </c>
      <c r="B9" s="1">
        <v>46148.606770833336</v>
      </c>
      <c r="C9" s="1">
        <v>46153.608136574097</v>
      </c>
      <c r="D9" t="s">
        <v>25</v>
      </c>
      <c r="E9" t="s">
        <v>83</v>
      </c>
      <c r="F9" t="s">
        <v>84</v>
      </c>
      <c r="G9" t="s">
        <v>79</v>
      </c>
      <c r="H9">
        <v>7</v>
      </c>
      <c r="I9">
        <v>6</v>
      </c>
      <c r="J9">
        <v>7</v>
      </c>
      <c r="K9">
        <v>9</v>
      </c>
      <c r="L9">
        <v>7</v>
      </c>
      <c r="M9">
        <v>8</v>
      </c>
      <c r="N9">
        <v>6</v>
      </c>
      <c r="O9">
        <v>10</v>
      </c>
      <c r="P9">
        <v>10</v>
      </c>
      <c r="Q9">
        <v>9</v>
      </c>
      <c r="R9">
        <v>8</v>
      </c>
      <c r="S9">
        <v>9</v>
      </c>
      <c r="T9">
        <v>8</v>
      </c>
      <c r="U9">
        <v>8</v>
      </c>
      <c r="V9">
        <v>8</v>
      </c>
      <c r="W9" s="9">
        <f>AVERAGE(Table1[[#This Row],[¿Cómo evalúa la eficiencia operativa de TeleVía en la gestión diaria de cruces y registro de transacciones?
]:[En general, ¿Qué tan satisfecho está con el servicio integral de TeleVía?]])</f>
        <v>8</v>
      </c>
      <c r="X9" t="s">
        <v>85</v>
      </c>
      <c r="Y9" t="s">
        <v>86</v>
      </c>
      <c r="Z9" t="s">
        <v>87</v>
      </c>
    </row>
    <row r="10" spans="1:26" x14ac:dyDescent="0.35">
      <c r="A10">
        <v>23</v>
      </c>
      <c r="B10" s="1">
        <v>46122.432638888902</v>
      </c>
      <c r="C10" s="1">
        <v>46122.437743055598</v>
      </c>
      <c r="D10" t="s">
        <v>25</v>
      </c>
      <c r="E10" t="s">
        <v>41</v>
      </c>
      <c r="F10" t="s">
        <v>42</v>
      </c>
      <c r="G10" t="s">
        <v>43</v>
      </c>
      <c r="H10">
        <v>8</v>
      </c>
      <c r="I10">
        <v>8</v>
      </c>
      <c r="J10">
        <v>8</v>
      </c>
      <c r="K10">
        <v>9</v>
      </c>
      <c r="L10">
        <v>8</v>
      </c>
      <c r="M10">
        <v>9</v>
      </c>
      <c r="N10">
        <v>9</v>
      </c>
      <c r="O10">
        <v>10</v>
      </c>
      <c r="P10">
        <v>9</v>
      </c>
      <c r="Q10">
        <v>10</v>
      </c>
      <c r="R10">
        <v>9</v>
      </c>
      <c r="S10">
        <v>10</v>
      </c>
      <c r="T10">
        <v>10</v>
      </c>
      <c r="U10">
        <v>9</v>
      </c>
      <c r="V10">
        <v>9</v>
      </c>
      <c r="W10" s="9">
        <f>AVERAGE(Table1[[#This Row],[¿Cómo evalúa la eficiencia operativa de TeleVía en la gestión diaria de cruces y registro de transacciones?
]:[En general, ¿Qué tan satisfecho está con el servicio integral de TeleVía?]])</f>
        <v>9</v>
      </c>
      <c r="X10" t="s">
        <v>44</v>
      </c>
      <c r="Y10" t="s">
        <v>45</v>
      </c>
      <c r="Z10" t="s">
        <v>46</v>
      </c>
    </row>
    <row r="11" spans="1:26" x14ac:dyDescent="0.35">
      <c r="A11">
        <v>20</v>
      </c>
      <c r="B11" s="1">
        <v>46120.559236111098</v>
      </c>
      <c r="C11" s="1">
        <v>46120.562430555598</v>
      </c>
      <c r="D11" t="s">
        <v>25</v>
      </c>
      <c r="E11" t="s">
        <v>26</v>
      </c>
      <c r="F11" t="s">
        <v>78</v>
      </c>
      <c r="G11" t="s">
        <v>27</v>
      </c>
      <c r="H11">
        <v>8</v>
      </c>
      <c r="I11">
        <v>6</v>
      </c>
      <c r="J11">
        <v>7</v>
      </c>
      <c r="K11">
        <v>5</v>
      </c>
      <c r="L11">
        <v>5</v>
      </c>
      <c r="M11">
        <v>5</v>
      </c>
      <c r="N11">
        <v>6</v>
      </c>
      <c r="O11">
        <v>9</v>
      </c>
      <c r="P11">
        <v>8</v>
      </c>
      <c r="Q11">
        <v>9</v>
      </c>
      <c r="R11">
        <v>9</v>
      </c>
      <c r="S11">
        <v>9</v>
      </c>
      <c r="T11">
        <v>7</v>
      </c>
      <c r="U11">
        <v>8</v>
      </c>
      <c r="V11">
        <v>6</v>
      </c>
      <c r="W11" s="9">
        <f>AVERAGE(Table1[[#This Row],[¿Cómo evalúa la eficiencia operativa de TeleVía en la gestión diaria de cruces y registro de transacciones?
]:[En general, ¿Qué tan satisfecho está con el servicio integral de TeleVía?]])</f>
        <v>7.1333333333333337</v>
      </c>
      <c r="X11" t="s">
        <v>28</v>
      </c>
      <c r="Y11" t="s">
        <v>29</v>
      </c>
      <c r="Z11" t="s">
        <v>26</v>
      </c>
    </row>
    <row r="12" spans="1:26" x14ac:dyDescent="0.35">
      <c r="A12">
        <v>30</v>
      </c>
      <c r="B12" s="1">
        <v>46147.886666666702</v>
      </c>
      <c r="C12" s="1">
        <v>46147.890960648103</v>
      </c>
      <c r="D12" t="s">
        <v>25</v>
      </c>
      <c r="E12" t="s">
        <v>77</v>
      </c>
      <c r="F12" t="s">
        <v>78</v>
      </c>
      <c r="G12" t="s">
        <v>43</v>
      </c>
      <c r="H12">
        <v>7</v>
      </c>
      <c r="I12">
        <v>7</v>
      </c>
      <c r="J12">
        <v>5</v>
      </c>
      <c r="K12">
        <v>5</v>
      </c>
      <c r="L12">
        <v>5</v>
      </c>
      <c r="M12">
        <v>8</v>
      </c>
      <c r="N12">
        <v>5</v>
      </c>
      <c r="O12">
        <v>7</v>
      </c>
      <c r="P12">
        <v>7</v>
      </c>
      <c r="Q12">
        <v>8</v>
      </c>
      <c r="R12">
        <v>8</v>
      </c>
      <c r="S12">
        <v>8</v>
      </c>
      <c r="T12">
        <v>9</v>
      </c>
      <c r="U12">
        <v>5</v>
      </c>
      <c r="V12">
        <v>7</v>
      </c>
      <c r="W12" s="9">
        <f>AVERAGE(Table1[[#This Row],[¿Cómo evalúa la eficiencia operativa de TeleVía en la gestión diaria de cruces y registro de transacciones?
]:[En general, ¿Qué tan satisfecho está con el servicio integral de TeleVía?]])</f>
        <v>6.7333333333333334</v>
      </c>
      <c r="X12" t="s">
        <v>80</v>
      </c>
      <c r="Y12" t="s">
        <v>81</v>
      </c>
      <c r="Z12" t="s">
        <v>82</v>
      </c>
    </row>
    <row r="13" spans="1:26" x14ac:dyDescent="0.35">
      <c r="A13">
        <v>28</v>
      </c>
      <c r="B13" s="1">
        <v>46134.654456018499</v>
      </c>
      <c r="C13" s="1">
        <v>46134.662881944401</v>
      </c>
      <c r="D13" t="s">
        <v>25</v>
      </c>
      <c r="E13" t="s">
        <v>67</v>
      </c>
      <c r="F13" t="s">
        <v>68</v>
      </c>
      <c r="G13" t="s">
        <v>69</v>
      </c>
      <c r="H13">
        <v>8</v>
      </c>
      <c r="I13">
        <v>7</v>
      </c>
      <c r="J13">
        <v>7</v>
      </c>
      <c r="K13">
        <v>9</v>
      </c>
      <c r="L13">
        <v>7</v>
      </c>
      <c r="M13">
        <v>7</v>
      </c>
      <c r="N13">
        <v>7</v>
      </c>
      <c r="O13">
        <v>9</v>
      </c>
      <c r="P13">
        <v>9</v>
      </c>
      <c r="Q13">
        <v>8</v>
      </c>
      <c r="R13">
        <v>9</v>
      </c>
      <c r="S13">
        <v>8</v>
      </c>
      <c r="T13">
        <v>9</v>
      </c>
      <c r="U13">
        <v>7</v>
      </c>
      <c r="V13">
        <v>7</v>
      </c>
      <c r="W13" s="9">
        <f>AVERAGE(Table1[[#This Row],[¿Cómo evalúa la eficiencia operativa de TeleVía en la gestión diaria de cruces y registro de transacciones?
]:[En general, ¿Qué tan satisfecho está con el servicio integral de TeleVía?]])</f>
        <v>7.8666666666666663</v>
      </c>
      <c r="X13" t="s">
        <v>70</v>
      </c>
      <c r="Y13" t="s">
        <v>71</v>
      </c>
      <c r="Z13" t="s">
        <v>70</v>
      </c>
    </row>
    <row r="14" spans="1:26" x14ac:dyDescent="0.35">
      <c r="A14" s="5"/>
      <c r="B14" s="1"/>
      <c r="C14" s="1"/>
      <c r="D14" s="5"/>
      <c r="E14" s="5"/>
      <c r="F14" s="5"/>
      <c r="G14" s="5"/>
      <c r="H14" s="5">
        <f t="shared" ref="H14:V14" si="0">SUBTOTAL(101,H2:H13)</f>
        <v>7.083333333333333</v>
      </c>
      <c r="I14" s="5">
        <f t="shared" si="0"/>
        <v>6.583333333333333</v>
      </c>
      <c r="J14" s="5">
        <f t="shared" si="0"/>
        <v>6.25</v>
      </c>
      <c r="K14" s="5">
        <f t="shared" si="0"/>
        <v>6.833333333333333</v>
      </c>
      <c r="L14" s="5">
        <f t="shared" si="0"/>
        <v>5.75</v>
      </c>
      <c r="M14" s="5">
        <f t="shared" si="0"/>
        <v>6.916666666666667</v>
      </c>
      <c r="N14" s="5">
        <f t="shared" si="0"/>
        <v>6.5</v>
      </c>
      <c r="O14" s="5">
        <f t="shared" si="0"/>
        <v>7.916666666666667</v>
      </c>
      <c r="P14" s="5">
        <f t="shared" si="0"/>
        <v>7.416666666666667</v>
      </c>
      <c r="Q14" s="5">
        <f t="shared" si="0"/>
        <v>8.4166666666666661</v>
      </c>
      <c r="R14" s="5">
        <f t="shared" si="0"/>
        <v>8.0833333333333339</v>
      </c>
      <c r="S14" s="5">
        <f t="shared" si="0"/>
        <v>7.5</v>
      </c>
      <c r="T14" s="5">
        <f t="shared" si="0"/>
        <v>7.416666666666667</v>
      </c>
      <c r="U14" s="5">
        <f t="shared" si="0"/>
        <v>7.333333333333333</v>
      </c>
      <c r="V14" s="5">
        <f t="shared" si="0"/>
        <v>6.916666666666667</v>
      </c>
      <c r="W14" s="9">
        <f>SUBTOTAL(101,Table1[Total NPS])</f>
        <v>7.1277777777777773</v>
      </c>
      <c r="X14" s="5"/>
      <c r="Y14" s="5"/>
      <c r="Z14" s="5"/>
    </row>
  </sheetData>
  <pageMargins left="0.7" right="0.7" top="0.75" bottom="0.75" header="0.3" footer="0.3"/>
  <pageSetup paperSize="9" orientation="portrait" r:id="rId1"/>
  <headerFooter>
    <oddFooter>&amp;R_x000D_&amp;1#&amp;"Aptos"&amp;8&amp;K000000 Interno</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3FD5-332B-41C6-AA8F-F66535C135D4}">
  <dimension ref="A1:O2"/>
  <sheetViews>
    <sheetView tabSelected="1" topLeftCell="A4" workbookViewId="0">
      <selection activeCell="K19" sqref="K19"/>
    </sheetView>
  </sheetViews>
  <sheetFormatPr baseColWidth="10" defaultRowHeight="14.5" x14ac:dyDescent="0.35"/>
  <sheetData>
    <row r="1" spans="1:15" ht="15" thickBot="1" x14ac:dyDescent="0.4">
      <c r="A1" s="4" t="s">
        <v>7</v>
      </c>
      <c r="B1" s="4" t="s">
        <v>8</v>
      </c>
      <c r="C1" s="4" t="s">
        <v>9</v>
      </c>
      <c r="D1" s="4" t="s">
        <v>10</v>
      </c>
      <c r="E1" s="4" t="s">
        <v>11</v>
      </c>
      <c r="F1" s="4" t="s">
        <v>12</v>
      </c>
      <c r="G1" s="4" t="s">
        <v>13</v>
      </c>
      <c r="H1" s="4" t="s">
        <v>14</v>
      </c>
      <c r="I1" s="4" t="s">
        <v>15</v>
      </c>
      <c r="J1" s="4" t="s">
        <v>16</v>
      </c>
      <c r="K1" s="4" t="s">
        <v>17</v>
      </c>
      <c r="L1" s="4" t="s">
        <v>18</v>
      </c>
      <c r="M1" s="4" t="s">
        <v>19</v>
      </c>
      <c r="N1" s="4" t="s">
        <v>20</v>
      </c>
      <c r="O1" s="4" t="s">
        <v>21</v>
      </c>
    </row>
    <row r="2" spans="1:15" ht="15" thickTop="1" x14ac:dyDescent="0.35">
      <c r="A2" s="7">
        <v>7.083333333333333</v>
      </c>
      <c r="B2" s="7">
        <v>6.583333333333333</v>
      </c>
      <c r="C2" s="7">
        <v>6.25</v>
      </c>
      <c r="D2" s="7">
        <v>6.833333333333333</v>
      </c>
      <c r="E2" s="7">
        <v>5.75</v>
      </c>
      <c r="F2" s="7">
        <v>6.916666666666667</v>
      </c>
      <c r="G2" s="7">
        <v>6.5</v>
      </c>
      <c r="H2" s="7">
        <v>7.916666666666667</v>
      </c>
      <c r="I2" s="7">
        <v>7.416666666666667</v>
      </c>
      <c r="J2" s="7">
        <v>8.4166666666666661</v>
      </c>
      <c r="K2" s="7">
        <v>8.0833333333333339</v>
      </c>
      <c r="L2" s="6">
        <v>7.5</v>
      </c>
      <c r="M2" s="7">
        <v>7.416666666666667</v>
      </c>
      <c r="N2" s="7">
        <v>7.333333333333333</v>
      </c>
      <c r="O2" s="7">
        <v>6.916666666666667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Calificaciones </vt:lpstr>
      <vt:lpstr>Analisis grafico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Manuel Cuellar Arzaluz</cp:lastModifiedBy>
  <dcterms:created xsi:type="dcterms:W3CDTF">2026-05-11T20:36:01Z</dcterms:created>
  <dcterms:modified xsi:type="dcterms:W3CDTF">2026-05-14T15:42:32Z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d6e777-56f8-41fd-a879-d5827b955212_Enabled">
    <vt:lpwstr>true</vt:lpwstr>
  </property>
  <property fmtid="{D5CDD505-2E9C-101B-9397-08002B2CF9AE}" pid="3" name="MSIP_Label_16d6e777-56f8-41fd-a879-d5827b955212_SetDate">
    <vt:lpwstr>2026-05-11T20:36:28Z</vt:lpwstr>
  </property>
  <property fmtid="{D5CDD505-2E9C-101B-9397-08002B2CF9AE}" pid="4" name="MSIP_Label_16d6e777-56f8-41fd-a879-d5827b955212_Method">
    <vt:lpwstr>Privileged</vt:lpwstr>
  </property>
  <property fmtid="{D5CDD505-2E9C-101B-9397-08002B2CF9AE}" pid="5" name="MSIP_Label_16d6e777-56f8-41fd-a879-d5827b955212_Name">
    <vt:lpwstr>Datos Personales No – Interno</vt:lpwstr>
  </property>
  <property fmtid="{D5CDD505-2E9C-101B-9397-08002B2CF9AE}" pid="6" name="MSIP_Label_16d6e777-56f8-41fd-a879-d5827b955212_SiteId">
    <vt:lpwstr>31bccd97-6329-436e-bfcc-a12e878d1c9b</vt:lpwstr>
  </property>
  <property fmtid="{D5CDD505-2E9C-101B-9397-08002B2CF9AE}" pid="7" name="MSIP_Label_16d6e777-56f8-41fd-a879-d5827b955212_ActionId">
    <vt:lpwstr>4b6b9b38-7787-4a98-afc1-def8ff89ccb5</vt:lpwstr>
  </property>
  <property fmtid="{D5CDD505-2E9C-101B-9397-08002B2CF9AE}" pid="8" name="MSIP_Label_16d6e777-56f8-41fd-a879-d5827b955212_ContentBits">
    <vt:lpwstr>2</vt:lpwstr>
  </property>
  <property fmtid="{D5CDD505-2E9C-101B-9397-08002B2CF9AE}" pid="9" name="MSIP_Label_16d6e777-56f8-41fd-a879-d5827b955212_Tag">
    <vt:lpwstr>10, 0, 1, 1</vt:lpwstr>
  </property>
</Properties>
</file>