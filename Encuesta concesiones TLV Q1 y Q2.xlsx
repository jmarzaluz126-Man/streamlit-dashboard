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jose.cuellara\Downloads\"/>
    </mc:Choice>
  </mc:AlternateContent>
  <xr:revisionPtr revIDLastSave="0" documentId="8_{632D81B7-EDB8-4E16-99F7-671ADEB7F555}" xr6:coauthVersionLast="47" xr6:coauthVersionMax="47" xr10:uidLastSave="{00000000-0000-0000-0000-000000000000}"/>
  <bookViews>
    <workbookView xWindow="-110" yWindow="-110" windowWidth="19420" windowHeight="10300" activeTab="2" xr2:uid="{00000000-000D-0000-FFFF-FFFF00000000}"/>
  </bookViews>
  <sheets>
    <sheet name="Calificaciones Q1" sheetId="1" r:id="rId1"/>
    <sheet name="Calificaciones Q2" sheetId="3" r:id="rId2"/>
    <sheet name="Analisis grafico"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3" l="1"/>
  <c r="T4" i="3"/>
  <c r="T5" i="3"/>
  <c r="T6" i="3"/>
  <c r="T7" i="3"/>
  <c r="T8" i="3"/>
  <c r="T9" i="3"/>
  <c r="T10" i="3"/>
  <c r="T11" i="3"/>
  <c r="T12" i="3"/>
  <c r="T13" i="3"/>
  <c r="T14" i="3"/>
  <c r="T15" i="3"/>
  <c r="T16" i="3"/>
  <c r="T17" i="3"/>
  <c r="T2" i="3"/>
  <c r="W3" i="1"/>
  <c r="W4" i="1"/>
  <c r="W5" i="1"/>
  <c r="W6" i="1"/>
  <c r="W7" i="1"/>
  <c r="W8" i="1"/>
  <c r="W9" i="1"/>
  <c r="W10" i="1"/>
  <c r="W11" i="1"/>
  <c r="W12" i="1"/>
  <c r="W13" i="1"/>
  <c r="H14" i="1"/>
  <c r="I14" i="1"/>
  <c r="J14" i="1"/>
  <c r="K14" i="1"/>
  <c r="L14" i="1"/>
  <c r="M14" i="1"/>
  <c r="N14" i="1"/>
  <c r="O14" i="1"/>
  <c r="P14" i="1"/>
  <c r="Q14" i="1"/>
  <c r="R14" i="1"/>
  <c r="S14" i="1"/>
  <c r="T14" i="1"/>
  <c r="U14" i="1"/>
  <c r="V14" i="1"/>
  <c r="R18" i="3"/>
  <c r="Q18" i="3"/>
  <c r="P18" i="3"/>
  <c r="O18" i="3"/>
  <c r="N18" i="3"/>
  <c r="M18" i="3"/>
  <c r="L18" i="3"/>
  <c r="K18" i="3"/>
  <c r="J18" i="3"/>
  <c r="I18" i="3"/>
  <c r="H18" i="3"/>
  <c r="G18" i="3"/>
  <c r="F18" i="3"/>
  <c r="E18" i="3"/>
  <c r="D18" i="3"/>
  <c r="W2" i="1"/>
  <c r="S18" i="3" s="1"/>
  <c r="W14" i="1" l="1"/>
</calcChain>
</file>

<file path=xl/sharedStrings.xml><?xml version="1.0" encoding="utf-8"?>
<sst xmlns="http://schemas.openxmlformats.org/spreadsheetml/2006/main" count="260" uniqueCount="162">
  <si>
    <t>ID</t>
  </si>
  <si>
    <t>Hora de inicio</t>
  </si>
  <si>
    <t>Hora de finalización</t>
  </si>
  <si>
    <t>Correo electrónico</t>
  </si>
  <si>
    <t xml:space="preserve">Nombre
</t>
  </si>
  <si>
    <t>Nombre de la Concesión </t>
  </si>
  <si>
    <t xml:space="preserve">Área / Cargo </t>
  </si>
  <si>
    <t xml:space="preserve">¿Cómo evalúa la eficiencia operativa de TeleVía en la gestión diaria de cruces y registro de transacciones?
</t>
  </si>
  <si>
    <t>¿Cómo califica los tiempos de respuesta y resolución de incidencias operativas?</t>
  </si>
  <si>
    <t>¿Qué tan satisfecho está con la precisión de las conciliaciones operativas entregadas por TeleVía?</t>
  </si>
  <si>
    <t>¿Cómo valora la facilidad de los procesos operativos (Ej. Calculo de comisiones, contraprestaciones)?</t>
  </si>
  <si>
    <t>¿Cómo valora la gestión de incobrables, discrepancias, (plazo, información, soporte)?</t>
  </si>
  <si>
    <t>¿Cómo evalúa la capacidad de monitoreo 24/7 y la detección temprana de incidencias por parte de TeleVía?</t>
  </si>
  <si>
    <t>¿Cómo califica la comunicación y notificación ante eventos críticos (alertas, incidencias en plaza, seguimiento)?</t>
  </si>
  <si>
    <t>¿Cómo evalúa la gestión en la dispersión de pagos y la liquidez entregada por TeleVía?</t>
  </si>
  <si>
    <t>¿Qué tan satisfecho está con la transparencia y detalle de los reportes financieros de pago?</t>
  </si>
  <si>
    <t>¿Qué tan satisfecho está con el acompañamiento del equipo comercial de TeleVía (accesibilidad, proactividad, apoyo, gestión )?</t>
  </si>
  <si>
    <t>¿Qué tan útil considera la información comercial que recibe de TeleVía para apoyar la toma de decisiones estratégicas?</t>
  </si>
  <si>
    <t>¿Qué tan útil encuentra las reuniones mensuales/Revisiones para la toma de decisiones y seguimiento de Solicitudes?</t>
  </si>
  <si>
    <t>¿Qué tan funcional considera el reponte de BI enviado ( aforos, tipo de aforo, segmento de aforo, frecuencia, aforo por hoarios, etc.) ?</t>
  </si>
  <si>
    <t>¿Cómo califica la comunicación proactiva de TeleVía sobre nuevas iniciativas, proyectos o cambios operativos?</t>
  </si>
  <si>
    <t>En general, ¿Qué tan satisfecho está con el servicio integral de TeleVía?</t>
  </si>
  <si>
    <t>¿Qué aspectos considera que TeleVía realiza correctamente y debe mantener?</t>
  </si>
  <si>
    <t>¿Qué aspectos considera que TeleVía realiza incorrectamente y debe corregir, (Que no este  mencionado arriba)?</t>
  </si>
  <si>
    <t>Comentarios adicionales / contacto para seguimiento (nombre y correo si desea respuesta personalizada):</t>
  </si>
  <si>
    <t>anonymous</t>
  </si>
  <si>
    <t>Sandra Rivera</t>
  </si>
  <si>
    <t>ACCSA</t>
  </si>
  <si>
    <t>subgerente de operaciones</t>
  </si>
  <si>
    <t>Acercamiento via comercial</t>
  </si>
  <si>
    <t>Sus migracion a sus sistemas</t>
  </si>
  <si>
    <t>Considero que es una empresa fuerte, pero deben cuidar mucho el envio, manejo de informacion diaria, comprobantes de pago.</t>
  </si>
  <si>
    <t>Victor Cabrera</t>
  </si>
  <si>
    <t>AUNORTE</t>
  </si>
  <si>
    <t>Especialista de Análisis</t>
  </si>
  <si>
    <t xml:space="preserve">Publicidad </t>
  </si>
  <si>
    <t>Procesamiento de la información principalmente Saldos, sistema nuevo</t>
  </si>
  <si>
    <t>Sin comentarios.</t>
  </si>
  <si>
    <t>Edgar Loya Cortés</t>
  </si>
  <si>
    <t>Auditoria y Estadística</t>
  </si>
  <si>
    <t xml:space="preserve">no puedo opinar </t>
  </si>
  <si>
    <t>llegar a acuerdos concisos para poder llevar a una conciliación de manera eficaz</t>
  </si>
  <si>
    <t>Ninguno</t>
  </si>
  <si>
    <t>Luz Elena Navarro Espinosa</t>
  </si>
  <si>
    <t>Circuito Exterior Mexiquense</t>
  </si>
  <si>
    <t>Especialista de Analisis y Estadistica</t>
  </si>
  <si>
    <t>.</t>
  </si>
  <si>
    <t>Conocer a fondo su operación para asegurar que el cliente sea siempre  su prioridad</t>
  </si>
  <si>
    <t>Confiamos en que el equipo alcanzará el nivel de madurez necesario para los próximos desafíos</t>
  </si>
  <si>
    <t>Ladislao Alviso Molina</t>
  </si>
  <si>
    <t>Líder de Tráfico</t>
  </si>
  <si>
    <t>La atención comercial.</t>
  </si>
  <si>
    <t xml:space="preserve">Conciliaciones, pretensión de cambios unilaterales en los términos del contrato, dispersión de fondos. </t>
  </si>
  <si>
    <t xml:space="preserve">Se deben estrechar lazos y reforzar procedimientos, asumir los errores y aprender de ellos. </t>
  </si>
  <si>
    <t>Gema Barron Dominguez</t>
  </si>
  <si>
    <t>CONCESIONARIA AUTOPISTA LIBRAMIENTO HERMOSILLO</t>
  </si>
  <si>
    <t>Superintendente de control de proyectos</t>
  </si>
  <si>
    <t>La entrega de detalles decenales en tiempo.</t>
  </si>
  <si>
    <t>Los tiempos de respuesta para retarificaciones, ya que sobrepasan los 90 días</t>
  </si>
  <si>
    <t>Observe que la incorporación de Jose Cuellara a TELEVIA, mejoro el seguimiento y la comunicación con esta concesionaria.</t>
  </si>
  <si>
    <t>LIZBETH GUZMAN MATAS</t>
  </si>
  <si>
    <t>GERENTE ADMINISTRATIVO</t>
  </si>
  <si>
    <t xml:space="preserve">MEJOR COMUNICACION Y PRONTAS RESPUESTAS </t>
  </si>
  <si>
    <t>MEJORAR TIEMPOS DE ENTREGA DE INFORMACION</t>
  </si>
  <si>
    <t>Marcos Ceron</t>
  </si>
  <si>
    <t>GANA</t>
  </si>
  <si>
    <t>Operaciones</t>
  </si>
  <si>
    <t xml:space="preserve">Mejoro el  seguimiento a conciliaciones y temas de apoyo comercial </t>
  </si>
  <si>
    <t>Los incobrables</t>
  </si>
  <si>
    <t>ok</t>
  </si>
  <si>
    <t>Sergio Arturo Garcia Ramirez</t>
  </si>
  <si>
    <t>Lerma - Tenango</t>
  </si>
  <si>
    <t xml:space="preserve">Gerente de Operacion </t>
  </si>
  <si>
    <t xml:space="preserve">Transparencia en conciliaciones </t>
  </si>
  <si>
    <t>Puesta a punto del nuevo sistema</t>
  </si>
  <si>
    <t>Excelente atencion del personal</t>
  </si>
  <si>
    <t>edgar mejia</t>
  </si>
  <si>
    <t>Libramiento Elevado de Puebla</t>
  </si>
  <si>
    <t>control ingresos</t>
  </si>
  <si>
    <t>transacciones</t>
  </si>
  <si>
    <t>incobrables y claridad de datos</t>
  </si>
  <si>
    <t>Luis Ramón Rendón Huerta</t>
  </si>
  <si>
    <t xml:space="preserve">tiene áreas de oportunidad en cuanto al envió de saldos. </t>
  </si>
  <si>
    <t xml:space="preserve">El proceso de conciliacion se debe mejorar, no debe demoprar tanto tiempo. esto por falta de trazabilidad no por falta de claridad. </t>
  </si>
  <si>
    <t xml:space="preserve">se debe mejorar el proceso de actualización de saldos. nuestros clientes no deben ser afectados por temas tecnologicos, se debe buscar una opcion de paso que garantice el cobro cuando algo falle. </t>
  </si>
  <si>
    <t>Carlos Alberto Alcocer Guevara</t>
  </si>
  <si>
    <t xml:space="preserve">Supervía </t>
  </si>
  <si>
    <t>Gerente de Control Presupuestal, Compras y Servicios Generales</t>
  </si>
  <si>
    <t>Sin comentarios</t>
  </si>
  <si>
    <t>Atención al cliente, facturación de TAGs DDG (Exentos), conciliaciones, seguimiento a solicitudes, comunicación de cambios y migraciones que afectan la operación, la migración que están realizando ha sido sin coordinación de sus clientes</t>
  </si>
  <si>
    <t>¿Qué probabilidades hay de que recomiende usar TeleVía?</t>
  </si>
  <si>
    <t>Karina Guzman</t>
  </si>
  <si>
    <t xml:space="preserve">Contabilidad / Gerente </t>
  </si>
  <si>
    <t>Las reuniones mensuales</t>
  </si>
  <si>
    <t>Falta comunicación entre el área operativa y de finanzas con respecto a las dispersiones diarias. Falta seguimiento a las solicitudes (se pido correo soporte para entrega a auditoría y nunca se recibió), se hacen observaciones en las juntas como que no se incluye información certera y pasa un mes y continúa el problema, los cierres mensuales rara vez se logran el primer día del mes en un horario laboral</t>
  </si>
  <si>
    <t>Karina Guzman / karina.guzman@supervia.mx</t>
  </si>
  <si>
    <t>Guillermo Hernández Lima</t>
  </si>
  <si>
    <t>Gerente Sr. Operación</t>
  </si>
  <si>
    <t>El tiempo de respuesta al pago de los viajes enviados diariamente</t>
  </si>
  <si>
    <t>Mejorar los tiempos de respuesta y efectividad en la información que se comparte para conciliar cifras.</t>
  </si>
  <si>
    <t>Sin más comentarios por el momento / guillermo.hernandez@supervia.mx</t>
  </si>
  <si>
    <t>Miguel Arguello</t>
  </si>
  <si>
    <t>Operacion</t>
  </si>
  <si>
    <t xml:space="preserve">Nada por el momento </t>
  </si>
  <si>
    <t xml:space="preserve">Mejora en sus sistemas, antes de realizar algun cambio, no se realice en produccion directamente , si no se haga un ambiente de prueba y se pruebe antes de enviar a operacion con todas las medidas pertinentes </t>
  </si>
  <si>
    <t xml:space="preserve">Seguir mejorando </t>
  </si>
  <si>
    <t>Alberto Cortes</t>
  </si>
  <si>
    <t>Lider de TI</t>
  </si>
  <si>
    <t>En general es un buen servicio, pero tiene varias areas para mejorar.</t>
  </si>
  <si>
    <t>No tengo ninguno identificado</t>
  </si>
  <si>
    <t>Gerente de operaciones</t>
  </si>
  <si>
    <t>La disposición para la atención y seguimiento de incidencias, así como la comunicación entre los equipos técnicos y operativos. Se considera importante mantener la apertura para el análisis conjunto de eventos, el intercambio de información técnica y la coordinación con el concesionario e integradores para la solución de problemáticas relacionadas con la operación del telepeaje.</t>
  </si>
  <si>
    <t>Se requiere fortalecer la gestión preventiva y la trazabilidad de las incidencias que puedan afectar la operación del telepeaje. Es importante mejorar la notificación oportuna de cambios, incrementos atípicos o afectaciones en los procesos de generación y envío de archivos, listas de saldos y demás interfaces de intercambio de información.  Asimismo, se solicita mejorar los tiempos de respuesta, la comunicación durante incidentes críticos y la entrega de análisis de causa raíz con evidencia técnica, acciones correctivas, responsables y mecanismos que permitan verificar la no recurrencia.  Consideramos necesario establecer indicadores de desempeño y niveles de servicio para medir, entre otros aspectos, disponibilidad, tiempos de atención, tiempos de resolución, calidad de la información intercambiada y recurrencia de incidencias.</t>
  </si>
  <si>
    <t>encontrar las areas de oportunidad en conjunto y ver de que manera podemos mejorar procesos, ejemplo: no tengo un modulo de consulta de saldos para dar una respuesta inmediata a mi usuario.</t>
  </si>
  <si>
    <t>VEB</t>
  </si>
  <si>
    <t xml:space="preserve">Mejora en procesos de conciliación, ampliar criterios para la toma de decisiones, no solo ver por los intereses propios si no del grupo y de la forma de operar.. </t>
  </si>
  <si>
    <t xml:space="preserve">Sin comentarios. </t>
  </si>
  <si>
    <t>Analista de Auditoria</t>
  </si>
  <si>
    <t>sin comentarios</t>
  </si>
  <si>
    <t xml:space="preserve">La comunicación no se debe perder. </t>
  </si>
  <si>
    <t>Su capacidad de negociación con otros operadores de Telepeaje</t>
  </si>
  <si>
    <t xml:space="preserve">Resolvamos el tema de T6, no podemos en CEM seguir perdiendo dinero. </t>
  </si>
  <si>
    <t>JOSE ISRAEL BENITEZ RAMIREZ</t>
  </si>
  <si>
    <t>GERENTE DE OPERACIONES</t>
  </si>
  <si>
    <t>la atención y cercanía del personal encargado de la concesión</t>
  </si>
  <si>
    <t>Claridad en los procesos de conciliación. Contar con una plataforma que no genere errores en el intercambio de la información a nivel base de datos. Monitoreo más efectivo de los procesos en los servidores. El tiempo de actualización de saldos ante recargas de usuarios.</t>
  </si>
  <si>
    <t>no</t>
  </si>
  <si>
    <t>SERGIO ARTURO GARCIA RAMIREZ</t>
  </si>
  <si>
    <t xml:space="preserve">GERENTE DE OPERACION </t>
  </si>
  <si>
    <t>ATENCION DEL AREA COMERCIAL</t>
  </si>
  <si>
    <t>TIEMPO DE ATENCION A INCIDENTES OPERATIVOS (NOSOTROS AVISAMOS) NO REALIZAN MONITOREO</t>
  </si>
  <si>
    <t>AREA DE CONCILIACION INICIO EL AÑO CON UN SERVICIO BAJO Y AL DIA DE HOY ESTA REPUNTANDO PERO AUN NO LLEGA A LO OPTIMO</t>
  </si>
  <si>
    <t>LEOPOLDO LANDEROS MENDOZA</t>
  </si>
  <si>
    <t xml:space="preserve">ICISA-Irapuato </t>
  </si>
  <si>
    <t>TELEPEAJE</t>
  </si>
  <si>
    <t>DAR A CONOCER ROL DE TURNOS DETALLADO DE MONITOREO, ESTO IMPIDE PÉRDIDAS DE TIEMPO PARA BUSCAR A LA PERSONA EN TURNO PARA SOLUCIÓN DE CONFLICTOS DE COMUNICACIÓN O INTEGRIDAD DE INFORMACIÓN</t>
  </si>
  <si>
    <t>MEJORAR TIEMPO DE RESPUESTA A CONCILIACIONES Y TEMAS RELACIONADOS, QUE NO SEAN MAYORES A 15 O 20 DÍAS</t>
  </si>
  <si>
    <t>SUGIERO TENER EL PERSONAL CON OLGURA SUFICIENTE DE TIEMPO PARA CUBRIR ACTIVIDADES PERO MEJORAR TIEMPOS DE RESPUESTA</t>
  </si>
  <si>
    <t>YUSSEL ALEJANDRO ANTONIO HOPE GARCÍA</t>
  </si>
  <si>
    <t>TELEPEAJE / CONCILIACIONES</t>
  </si>
  <si>
    <t>Las cifras de control iniciales deben mantenerse, ya que permiten contar con una referencia base para el seguimiento y validación de la información. Asimismo, contribuyen a prevenir variaciones en los estatus de las cifras y facilitan la detección oportuna de posibles anomalías o inconsistencias durante el proceso de conciliación.</t>
  </si>
  <si>
    <t xml:space="preserve">Los procesos de conciliación no son lineales, ya que los cambios no siempre se notifican oportunamente. </t>
  </si>
  <si>
    <t xml:space="preserve">Tel: 5581844393, yahope@grupohi.mx </t>
  </si>
  <si>
    <t>CESAR RODRIGUEZ ROSETE</t>
  </si>
  <si>
    <t>COORDINADOR DE OPERACIONES</t>
  </si>
  <si>
    <t xml:space="preserve">Comunicación, </t>
  </si>
  <si>
    <t>cierre de proyectos en tiempo y forma</t>
  </si>
  <si>
    <t xml:space="preserve">CESAR RODRIGUEZ/LADISLAO ALVISO </t>
  </si>
  <si>
    <t>Analista de sistemas</t>
  </si>
  <si>
    <t>Intercambio de información de saldos</t>
  </si>
  <si>
    <t>Las conciliaciones</t>
  </si>
  <si>
    <t>Sin comentarios, creo que todo esta explicado</t>
  </si>
  <si>
    <t>Maricela Reyes López</t>
  </si>
  <si>
    <t>Finanzas - Ingresos</t>
  </si>
  <si>
    <t>Formato de las conciliaciones</t>
  </si>
  <si>
    <t>Comunicación y seguimiento; reducir tiempos de conciliación</t>
  </si>
  <si>
    <t>Es un buen equipo sólo calibrar áreas de oportunidad y cargas de trabajo.</t>
  </si>
  <si>
    <t xml:space="preserve">Gema Barron </t>
  </si>
  <si>
    <t xml:space="preserve">Siento que cada vez estamos mas cerca de lograr que trabajemos en una estabilidad al 100 y son un gran operador </t>
  </si>
  <si>
    <t xml:space="preserve">las retarificaciones, duran más de 90 días </t>
  </si>
  <si>
    <t xml:space="preserve">Todo muy bien </t>
  </si>
  <si>
    <t>Total Promedio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</si>
</sst>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theme="4"/>
        <bgColor theme="4"/>
      </patternFill>
    </fill>
  </fills>
  <borders count="3">
    <border>
      <left/>
      <right/>
      <top/>
      <bottom/>
      <diagonal/>
    </border>
    <border>
      <left/>
      <right/>
      <top style="thin">
        <color theme="4" tint="0.39997558519241921"/>
      </top>
      <bottom style="thin">
        <color theme="4" tint="0.39997558519241921"/>
      </bottom>
      <diagonal/>
    </border>
    <border>
      <left/>
      <right/>
      <top style="double">
        <color theme="4"/>
      </top>
      <bottom style="thin">
        <color theme="4" tint="0.39997558519241921"/>
      </bottom>
      <diagonal/>
    </border>
  </borders>
  <cellStyleXfs count="1">
    <xf numFmtId="0" fontId="0" fillId="0" borderId="0"/>
  </cellStyleXfs>
  <cellXfs count="15">
    <xf numFmtId="0" fontId="0" fillId="0" borderId="0" xfId="0"/>
    <xf numFmtId="164" fontId="0" fillId="0" borderId="0" xfId="0" applyNumberFormat="1"/>
    <xf numFmtId="0" fontId="0" fillId="0" borderId="0" xfId="0" applyAlignment="1">
      <alignment wrapText="1"/>
    </xf>
    <xf numFmtId="0" fontId="1" fillId="2" borderId="1" xfId="0" applyFont="1" applyFill="1" applyBorder="1"/>
    <xf numFmtId="1" fontId="0" fillId="0" borderId="0" xfId="0" applyNumberFormat="1"/>
    <xf numFmtId="1" fontId="2" fillId="0" borderId="0" xfId="0" applyNumberFormat="1" applyFont="1"/>
    <xf numFmtId="1" fontId="2" fillId="0" borderId="2" xfId="0" applyNumberFormat="1" applyFont="1" applyBorder="1"/>
    <xf numFmtId="0" fontId="0" fillId="0" borderId="0" xfId="0" applyAlignment="1">
      <alignment horizontal="center" wrapText="1"/>
    </xf>
    <xf numFmtId="1" fontId="0" fillId="0" borderId="0" xfId="0" applyNumberFormat="1" applyAlignment="1">
      <alignment horizontal="center" wrapText="1"/>
    </xf>
    <xf numFmtId="0" fontId="0" fillId="0" borderId="0" xfId="0" applyAlignment="1">
      <alignment horizontal="center"/>
    </xf>
    <xf numFmtId="1" fontId="0" fillId="0" borderId="0" xfId="0" applyNumberFormat="1" applyAlignment="1">
      <alignment horizontal="center"/>
    </xf>
    <xf numFmtId="0" fontId="0" fillId="0" borderId="0" xfId="0" quotePrefix="1" applyAlignment="1">
      <alignment wrapText="1"/>
    </xf>
    <xf numFmtId="0" fontId="0" fillId="0" borderId="0" xfId="0" applyNumberFormat="1" applyAlignment="1">
      <alignment wrapText="1"/>
    </xf>
    <xf numFmtId="0" fontId="0" fillId="0" borderId="0" xfId="0" applyAlignment="1">
      <alignment horizontal="left"/>
    </xf>
    <xf numFmtId="0" fontId="0" fillId="0" borderId="0" xfId="0" applyAlignment="1"/>
  </cellXfs>
  <cellStyles count="1">
    <cellStyle name="Normal" xfId="0" builtinId="0"/>
  </cellStyles>
  <dxfs count="96">
    <dxf>
      <numFmt numFmtId="1" formatCode="0"/>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64" formatCode="m/d/yy\ h:mm:ss"/>
    </dxf>
    <dxf>
      <numFmt numFmtId="164" formatCode="m/d/yy\ h:mm:ss"/>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alignment wrapText="1"/>
    </dxf>
    <dxf>
      <numFmt numFmtId="0" formatCode="General"/>
      <alignment wrapText="1"/>
    </dxf>
    <dxf>
      <numFmt numFmtId="0" formatCode="General"/>
      <alignment wrapText="1"/>
    </dxf>
    <dxf>
      <numFmt numFmtId="1" formatCode="0"/>
      <alignment horizontal="center"/>
    </dxf>
    <dxf>
      <numFmt numFmtId="0" formatCode="General"/>
      <alignment horizontal="center"/>
    </dxf>
    <dxf>
      <numFmt numFmtId="0" formatCode="General"/>
      <alignment horizontal="center"/>
    </dxf>
    <dxf>
      <numFmt numFmtId="0" formatCode="General"/>
      <alignment horizontal="center"/>
    </dxf>
    <dxf>
      <numFmt numFmtId="0" formatCode="General"/>
      <alignment horizontal="center"/>
    </dxf>
    <dxf>
      <numFmt numFmtId="0" formatCode="General"/>
      <alignment horizontal="center"/>
    </dxf>
    <dxf>
      <numFmt numFmtId="0" formatCode="General"/>
      <alignment horizontal="center"/>
    </dxf>
    <dxf>
      <numFmt numFmtId="0" formatCode="General"/>
      <alignment horizontal="center"/>
    </dxf>
    <dxf>
      <numFmt numFmtId="0" formatCode="General"/>
      <alignment horizontal="center"/>
    </dxf>
    <dxf>
      <numFmt numFmtId="0" formatCode="General"/>
      <alignment horizontal="center"/>
    </dxf>
    <dxf>
      <numFmt numFmtId="0" formatCode="General"/>
      <alignment horizontal="center"/>
    </dxf>
    <dxf>
      <numFmt numFmtId="0" formatCode="General"/>
      <alignment horizontal="center"/>
    </dxf>
    <dxf>
      <numFmt numFmtId="0" formatCode="General"/>
      <alignment horizontal="center"/>
    </dxf>
    <dxf>
      <numFmt numFmtId="0" formatCode="General"/>
      <alignment horizontal="center"/>
    </dxf>
    <dxf>
      <numFmt numFmtId="0" formatCode="General"/>
      <alignment horizontal="center"/>
    </dxf>
    <dxf>
      <numFmt numFmtId="0" formatCode="General"/>
      <alignment horizontal="center"/>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382563422048596"/>
          <c:y val="0.10399698801046407"/>
          <c:w val="0.49240289503794821"/>
          <c:h val="0.8359922363373169"/>
        </c:manualLayout>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MX"/>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'Analisis grafico'!$A$1:$O$1</c:f>
              <c:strCache>
                <c:ptCount val="15"/>
                <c:pt idx="0">
                  <c:v>¿Cómo evalúa la eficiencia operativa de TeleVía en la gestión diaria de cruces y registro de transacciones?
</c:v>
                </c:pt>
                <c:pt idx="1">
                  <c:v>¿Cómo califica los tiempos de respuesta y resolución de incidencias operativas?</c:v>
                </c:pt>
                <c:pt idx="2">
                  <c:v>¿Qué tan satisfecho está con la precisión de las conciliaciones operativas entregadas por TeleVía?</c:v>
                </c:pt>
                <c:pt idx="3">
                  <c:v>¿Cómo valora la facilidad de los procesos operativos (Ej. Calculo de comisiones, contraprestaciones)?</c:v>
                </c:pt>
                <c:pt idx="4">
                  <c:v>¿Cómo valora la gestión de incobrables, discrepancias, (plazo, información, soporte)?</c:v>
                </c:pt>
                <c:pt idx="5">
                  <c:v>¿Cómo evalúa la capacidad de monitoreo 24/7 y la detección temprana de incidencias por parte de TeleVía?</c:v>
                </c:pt>
                <c:pt idx="6">
                  <c:v>¿Cómo califica la comunicación y notificación ante eventos críticos (alertas, incidencias en plaza, seguimiento)?</c:v>
                </c:pt>
                <c:pt idx="7">
                  <c:v>¿Cómo evalúa la gestión en la dispersión de pagos y la liquidez entregada por TeleVía?</c:v>
                </c:pt>
                <c:pt idx="8">
                  <c:v>¿Qué tan satisfecho está con la transparencia y detalle de los reportes financieros de pago?</c:v>
                </c:pt>
                <c:pt idx="9">
                  <c:v>¿Qué tan satisfecho está con el acompañamiento del equipo comercial de TeleVía (accesibilidad, proactividad, apoyo, gestión )?</c:v>
                </c:pt>
                <c:pt idx="10">
                  <c:v>¿Qué tan útil considera la información comercial que recibe de TeleVía para apoyar la toma de decisiones estratégicas?</c:v>
                </c:pt>
                <c:pt idx="11">
                  <c:v>¿Qué tan útil encuentra las reuniones mensuales/Revisiones para la toma de decisiones y seguimiento de Solicitudes?</c:v>
                </c:pt>
                <c:pt idx="12">
                  <c:v>¿Qué tan funcional considera el reponte de BI enviado ( aforos, tipo de aforo, segmento de aforo, frecuencia, aforo por hoarios, etc.) ?</c:v>
                </c:pt>
                <c:pt idx="13">
                  <c:v>¿Cómo califica la comunicación proactiva de TeleVía sobre nuevas iniciativas, proyectos o cambios operativos?</c:v>
                </c:pt>
                <c:pt idx="14">
                  <c:v>En general, ¿Qué tan satisfecho está con el servicio integral de TeleVía?</c:v>
                </c:pt>
              </c:strCache>
            </c:strRef>
          </c:cat>
          <c:val>
            <c:numRef>
              <c:f>'Analisis grafico'!$A$2:$O$2</c:f>
              <c:numCache>
                <c:formatCode>0</c:formatCode>
                <c:ptCount val="15"/>
                <c:pt idx="0">
                  <c:v>7.083333333333333</c:v>
                </c:pt>
                <c:pt idx="1">
                  <c:v>6.583333333333333</c:v>
                </c:pt>
                <c:pt idx="2">
                  <c:v>6.25</c:v>
                </c:pt>
                <c:pt idx="3">
                  <c:v>6.833333333333333</c:v>
                </c:pt>
                <c:pt idx="4">
                  <c:v>5.75</c:v>
                </c:pt>
                <c:pt idx="5">
                  <c:v>6.916666666666667</c:v>
                </c:pt>
                <c:pt idx="6">
                  <c:v>6.5</c:v>
                </c:pt>
                <c:pt idx="7">
                  <c:v>7.916666666666667</c:v>
                </c:pt>
                <c:pt idx="8">
                  <c:v>7.416666666666667</c:v>
                </c:pt>
                <c:pt idx="9">
                  <c:v>8.4166666666666661</c:v>
                </c:pt>
                <c:pt idx="10">
                  <c:v>8.0833333333333339</c:v>
                </c:pt>
                <c:pt idx="11">
                  <c:v>7.5</c:v>
                </c:pt>
                <c:pt idx="12">
                  <c:v>7.416666666666667</c:v>
                </c:pt>
                <c:pt idx="13">
                  <c:v>7.333333333333333</c:v>
                </c:pt>
                <c:pt idx="14">
                  <c:v>6.916666666666667</c:v>
                </c:pt>
              </c:numCache>
            </c:numRef>
          </c:val>
          <c:extLst>
            <c:ext xmlns:c16="http://schemas.microsoft.com/office/drawing/2014/chart" uri="{C3380CC4-5D6E-409C-BE32-E72D297353CC}">
              <c16:uniqueId val="{00000000-6AD2-4C8E-860E-A16A91B03CA1}"/>
            </c:ext>
          </c:extLst>
        </c:ser>
        <c:dLbls>
          <c:dLblPos val="inEnd"/>
          <c:showLegendKey val="0"/>
          <c:showVal val="1"/>
          <c:showCatName val="0"/>
          <c:showSerName val="0"/>
          <c:showPercent val="0"/>
          <c:showBubbleSize val="0"/>
        </c:dLbls>
        <c:gapWidth val="65"/>
        <c:axId val="65147056"/>
        <c:axId val="65146096"/>
      </c:barChart>
      <c:catAx>
        <c:axId val="6514705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MX"/>
          </a:p>
        </c:txPr>
        <c:crossAx val="65146096"/>
        <c:crosses val="autoZero"/>
        <c:auto val="1"/>
        <c:lblAlgn val="ctr"/>
        <c:lblOffset val="100"/>
        <c:noMultiLvlLbl val="0"/>
      </c:catAx>
      <c:valAx>
        <c:axId val="6514609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MX"/>
          </a:p>
        </c:txPr>
        <c:crossAx val="65147056"/>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MX"/>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s-MX"/>
              <a:t>Resultados Q2</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MX"/>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MX"/>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'Analisis grafico'!$A$27:$P$27</c:f>
              <c:strCache>
                <c:ptCount val="16"/>
                <c:pt idx="0">
                  <c:v>¿Cómo evalúa la eficiencia operativa de TeleVía en la gestión diaria de cruces y registro de transacciones?
</c:v>
                </c:pt>
                <c:pt idx="1">
                  <c:v>¿Cómo califica los tiempos de respuesta y resolución de incidencias operativas?</c:v>
                </c:pt>
                <c:pt idx="2">
                  <c:v>¿Qué tan satisfecho está con la precisión de las conciliaciones operativas entregadas por TeleVía?</c:v>
                </c:pt>
                <c:pt idx="3">
                  <c:v>¿Cómo valora la facilidad de los procesos operativos (Ej. Calculo de comisiones, contraprestaciones)?</c:v>
                </c:pt>
                <c:pt idx="4">
                  <c:v>¿Cómo valora la gestión de incobrables, discrepancias, (plazo, información, soporte)?</c:v>
                </c:pt>
                <c:pt idx="5">
                  <c:v>¿Cómo evalúa la capacidad de monitoreo 24/7 y la detección temprana de incidencias por parte de TeleVía?</c:v>
                </c:pt>
                <c:pt idx="6">
                  <c:v>¿Cómo califica la comunicación y notificación ante eventos críticos (alertas, incidencias en plaza, seguimiento)?</c:v>
                </c:pt>
                <c:pt idx="7">
                  <c:v>¿Cómo evalúa la gestión en la dispersión de pagos y la liquidez entregada por TeleVía?</c:v>
                </c:pt>
                <c:pt idx="8">
                  <c:v>¿Qué tan satisfecho está con la transparencia y detalle de los reportes financieros de pago?</c:v>
                </c:pt>
                <c:pt idx="9">
                  <c:v>¿Qué tan satisfecho está con el acompañamiento del equipo comercial de TeleVía (accesibilidad, proactividad, apoyo, gestión )?</c:v>
                </c:pt>
                <c:pt idx="10">
                  <c:v>¿Qué tan útil considera la información comercial que recibe de TeleVía para apoyar la toma de decisiones estratégicas?</c:v>
                </c:pt>
                <c:pt idx="11">
                  <c:v>¿Qué tan útil encuentra las reuniones mensuales/Revisiones para la toma de decisiones y seguimiento de Solicitudes?</c:v>
                </c:pt>
                <c:pt idx="12">
                  <c:v>¿Qué tan funcional considera el reponte de BI enviado ( aforos, tipo de aforo, segmento de aforo, frecuencia, aforo por hoarios, etc.) ?</c:v>
                </c:pt>
                <c:pt idx="13">
                  <c:v>¿Cómo califica la comunicación proactiva de TeleVía sobre nuevas iniciativas, proyectos o cambios operativos?</c:v>
                </c:pt>
                <c:pt idx="14">
                  <c:v>En general, ¿Qué tan satisfecho está con el servicio integral de TeleVía?</c:v>
                </c:pt>
                <c:pt idx="15">
                  <c:v>¿Qué probabilidades hay de que recomiende usar TeleVía?</c:v>
                </c:pt>
              </c:strCache>
            </c:strRef>
          </c:cat>
          <c:val>
            <c:numRef>
              <c:f>'Analisis grafico'!$A$28:$P$28</c:f>
              <c:numCache>
                <c:formatCode>0</c:formatCode>
                <c:ptCount val="16"/>
                <c:pt idx="0">
                  <c:v>7.666666666666667</c:v>
                </c:pt>
                <c:pt idx="1">
                  <c:v>6.75</c:v>
                </c:pt>
                <c:pt idx="2">
                  <c:v>6.75</c:v>
                </c:pt>
                <c:pt idx="3">
                  <c:v>7.416666666666667</c:v>
                </c:pt>
                <c:pt idx="4">
                  <c:v>6.75</c:v>
                </c:pt>
                <c:pt idx="5">
                  <c:v>6.666666666666667</c:v>
                </c:pt>
                <c:pt idx="6">
                  <c:v>6.833333333333333</c:v>
                </c:pt>
                <c:pt idx="7">
                  <c:v>8</c:v>
                </c:pt>
                <c:pt idx="8">
                  <c:v>7.833333333333333</c:v>
                </c:pt>
                <c:pt idx="9">
                  <c:v>8.8333333333333339</c:v>
                </c:pt>
                <c:pt idx="10">
                  <c:v>8.4166666666666661</c:v>
                </c:pt>
                <c:pt idx="11">
                  <c:v>7.583333333333333</c:v>
                </c:pt>
                <c:pt idx="12">
                  <c:v>7.583333333333333</c:v>
                </c:pt>
                <c:pt idx="13">
                  <c:v>7</c:v>
                </c:pt>
                <c:pt idx="14">
                  <c:v>7.416666666666667</c:v>
                </c:pt>
                <c:pt idx="15">
                  <c:v>7.1277777777777773</c:v>
                </c:pt>
              </c:numCache>
            </c:numRef>
          </c:val>
          <c:extLst>
            <c:ext xmlns:c16="http://schemas.microsoft.com/office/drawing/2014/chart" uri="{C3380CC4-5D6E-409C-BE32-E72D297353CC}">
              <c16:uniqueId val="{00000000-84F5-464D-87AD-D1D2341AFBB1}"/>
            </c:ext>
          </c:extLst>
        </c:ser>
        <c:dLbls>
          <c:dLblPos val="inEnd"/>
          <c:showLegendKey val="0"/>
          <c:showVal val="1"/>
          <c:showCatName val="0"/>
          <c:showSerName val="0"/>
          <c:showPercent val="0"/>
          <c:showBubbleSize val="0"/>
        </c:dLbls>
        <c:gapWidth val="65"/>
        <c:axId val="631661840"/>
        <c:axId val="631663760"/>
      </c:barChart>
      <c:catAx>
        <c:axId val="63166184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MX"/>
          </a:p>
        </c:txPr>
        <c:crossAx val="631663760"/>
        <c:crosses val="autoZero"/>
        <c:auto val="1"/>
        <c:lblAlgn val="ctr"/>
        <c:lblOffset val="100"/>
        <c:noMultiLvlLbl val="0"/>
      </c:catAx>
      <c:valAx>
        <c:axId val="63166376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MX"/>
          </a:p>
        </c:txPr>
        <c:crossAx val="631661840"/>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348191</xdr:colOff>
      <xdr:row>3</xdr:row>
      <xdr:rowOff>8467</xdr:rowOff>
    </xdr:from>
    <xdr:to>
      <xdr:col>13</xdr:col>
      <xdr:colOff>770467</xdr:colOff>
      <xdr:row>23</xdr:row>
      <xdr:rowOff>134408</xdr:rowOff>
    </xdr:to>
    <xdr:graphicFrame macro="">
      <xdr:nvGraphicFramePr>
        <xdr:cNvPr id="6" name="Gráfico 5">
          <a:extLst>
            <a:ext uri="{FF2B5EF4-FFF2-40B4-BE49-F238E27FC236}">
              <a16:creationId xmlns:a16="http://schemas.microsoft.com/office/drawing/2014/main" id="{44140C44-A73D-40CE-6123-1EEB1FECF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279400</xdr:colOff>
      <xdr:row>29</xdr:row>
      <xdr:rowOff>110068</xdr:rowOff>
    </xdr:from>
    <xdr:to>
      <xdr:col>13</xdr:col>
      <xdr:colOff>795866</xdr:colOff>
      <xdr:row>52</xdr:row>
      <xdr:rowOff>16934</xdr:rowOff>
    </xdr:to>
    <xdr:graphicFrame macro="">
      <xdr:nvGraphicFramePr>
        <xdr:cNvPr id="2" name="Gráfico 1">
          <a:extLst>
            <a:ext uri="{FF2B5EF4-FFF2-40B4-BE49-F238E27FC236}">
              <a16:creationId xmlns:a16="http://schemas.microsoft.com/office/drawing/2014/main" id="{CA045CF0-E41B-5EDA-19A9-F051769CC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0.42372</cdr:x>
      <cdr:y>0.05178</cdr:y>
    </cdr:from>
    <cdr:to>
      <cdr:x>0.66029</cdr:x>
      <cdr:y>0.13651</cdr:y>
    </cdr:to>
    <cdr:sp macro="" textlink="">
      <cdr:nvSpPr>
        <cdr:cNvPr id="2" name="CuadroTexto 1">
          <a:extLst xmlns:a="http://schemas.openxmlformats.org/drawingml/2006/main">
            <a:ext uri="{FF2B5EF4-FFF2-40B4-BE49-F238E27FC236}">
              <a16:creationId xmlns:a16="http://schemas.microsoft.com/office/drawing/2014/main" id="{0BFAD6EE-44FE-A0E4-44B6-45500CE19F82}"/>
            </a:ext>
          </a:extLst>
        </cdr:cNvPr>
        <cdr:cNvSpPr txBox="1"/>
      </cdr:nvSpPr>
      <cdr:spPr>
        <a:xfrm xmlns:a="http://schemas.openxmlformats.org/drawingml/2006/main">
          <a:off x="4291541" y="186267"/>
          <a:ext cx="2396067" cy="3048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MX" sz="1100" kern="1200"/>
        </a:p>
      </cdr:txBody>
    </cdr:sp>
  </cdr:relSizeAnchor>
  <cdr:relSizeAnchor xmlns:cdr="http://schemas.openxmlformats.org/drawingml/2006/chartDrawing">
    <cdr:from>
      <cdr:x>0.41929</cdr:x>
      <cdr:y>0.08581</cdr:y>
    </cdr:from>
    <cdr:to>
      <cdr:x>0.50863</cdr:x>
      <cdr:y>0.3506</cdr:y>
    </cdr:to>
    <cdr:sp macro="" textlink="">
      <cdr:nvSpPr>
        <cdr:cNvPr id="3" name="CuadroTexto 2">
          <a:extLst xmlns:a="http://schemas.openxmlformats.org/drawingml/2006/main">
            <a:ext uri="{FF2B5EF4-FFF2-40B4-BE49-F238E27FC236}">
              <a16:creationId xmlns:a16="http://schemas.microsoft.com/office/drawing/2014/main" id="{32F01C27-ED18-A0EC-FC53-2828B019B2C8}"/>
            </a:ext>
          </a:extLst>
        </cdr:cNvPr>
        <cdr:cNvSpPr txBox="1"/>
      </cdr:nvSpPr>
      <cdr:spPr>
        <a:xfrm xmlns:a="http://schemas.openxmlformats.org/drawingml/2006/main">
          <a:off x="4291542" y="296335"/>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MX" sz="1100" kern="1200"/>
        </a:p>
      </cdr:txBody>
    </cdr:sp>
  </cdr:relSizeAnchor>
  <cdr:relSizeAnchor xmlns:cdr="http://schemas.openxmlformats.org/drawingml/2006/chartDrawing">
    <cdr:from>
      <cdr:x>0.42426</cdr:x>
      <cdr:y>0.03678</cdr:y>
    </cdr:from>
    <cdr:to>
      <cdr:x>0.53841</cdr:x>
      <cdr:y>0.12014</cdr:y>
    </cdr:to>
    <cdr:sp macro="" textlink="">
      <cdr:nvSpPr>
        <cdr:cNvPr id="4" name="CuadroTexto 3">
          <a:extLst xmlns:a="http://schemas.openxmlformats.org/drawingml/2006/main">
            <a:ext uri="{FF2B5EF4-FFF2-40B4-BE49-F238E27FC236}">
              <a16:creationId xmlns:a16="http://schemas.microsoft.com/office/drawing/2014/main" id="{92EDA424-0011-AA83-C8FE-8ACD90F92768}"/>
            </a:ext>
          </a:extLst>
        </cdr:cNvPr>
        <cdr:cNvSpPr txBox="1"/>
      </cdr:nvSpPr>
      <cdr:spPr>
        <a:xfrm xmlns:a="http://schemas.openxmlformats.org/drawingml/2006/main">
          <a:off x="4342343" y="127001"/>
          <a:ext cx="1168400" cy="287867"/>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s-MX" sz="1100" b="1" kern="1200"/>
            <a:t>resultados Q1</a:t>
          </a:r>
        </a:p>
        <a:p xmlns:a="http://schemas.openxmlformats.org/drawingml/2006/main">
          <a:endParaRPr lang="es-MX" sz="1100" kern="1200"/>
        </a:p>
      </cdr:txBody>
    </cdr: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Z14" totalsRowCount="1" headerRowDxfId="95">
  <autoFilter ref="A1:Z13" xr:uid="{00000000-0009-0000-0100-000001000000}"/>
  <sortState xmlns:xlrd2="http://schemas.microsoft.com/office/spreadsheetml/2017/richdata2" ref="A2:Z13">
    <sortCondition ref="F1:F13"/>
  </sortState>
  <tableColumns count="26">
    <tableColumn id="1" xr3:uid="{00000000-0010-0000-0000-000001000000}" name="ID" dataDxfId="94"/>
    <tableColumn id="2" xr3:uid="{00000000-0010-0000-0000-000002000000}" name="Hora de inicio" dataDxfId="93" totalsRowDxfId="21"/>
    <tableColumn id="3" xr3:uid="{00000000-0010-0000-0000-000003000000}" name="Hora de finalización" dataDxfId="92" totalsRowDxfId="20"/>
    <tableColumn id="4" xr3:uid="{00000000-0010-0000-0000-000004000000}" name="Correo electrónico" dataDxfId="91"/>
    <tableColumn id="10" xr3:uid="{00000000-0010-0000-0000-00000A000000}" name="Nombre_x000a_" dataDxfId="90"/>
    <tableColumn id="13" xr3:uid="{00000000-0010-0000-0000-00000D000000}" name="Nombre de la Concesión " dataDxfId="89"/>
    <tableColumn id="16" xr3:uid="{00000000-0010-0000-0000-000010000000}" name="Área / Cargo " dataDxfId="88"/>
    <tableColumn id="19" xr3:uid="{00000000-0010-0000-0000-000013000000}" name="¿Cómo evalúa la eficiencia operativa de TeleVía en la gestión diaria de cruces y registro de transacciones?_x000a_" totalsRowFunction="custom" dataDxfId="87" totalsRowDxfId="19">
      <totalsRowFormula>SUBTOTAL(101,H2:H13)</totalsRowFormula>
    </tableColumn>
    <tableColumn id="22" xr3:uid="{00000000-0010-0000-0000-000016000000}" name="¿Cómo califica los tiempos de respuesta y resolución de incidencias operativas?" totalsRowFunction="custom" dataDxfId="86" totalsRowDxfId="18">
      <totalsRowFormula>SUBTOTAL(101,I2:I13)</totalsRowFormula>
    </tableColumn>
    <tableColumn id="25" xr3:uid="{00000000-0010-0000-0000-000019000000}" name="¿Qué tan satisfecho está con la precisión de las conciliaciones operativas entregadas por TeleVía?" totalsRowFunction="custom" dataDxfId="85" totalsRowDxfId="17">
      <totalsRowFormula>SUBTOTAL(101,J2:J13)</totalsRowFormula>
    </tableColumn>
    <tableColumn id="28" xr3:uid="{00000000-0010-0000-0000-00001C000000}" name="¿Cómo valora la facilidad de los procesos operativos (Ej. Calculo de comisiones, contraprestaciones)?" totalsRowFunction="custom" dataDxfId="84" totalsRowDxfId="16">
      <totalsRowFormula>SUBTOTAL(101,K2:K13)</totalsRowFormula>
    </tableColumn>
    <tableColumn id="31" xr3:uid="{00000000-0010-0000-0000-00001F000000}" name="¿Cómo valora la gestión de incobrables, discrepancias, (plazo, información, soporte)?" totalsRowFunction="custom" dataDxfId="83" totalsRowDxfId="15">
      <totalsRowFormula>SUBTOTAL(101,L2:L13)</totalsRowFormula>
    </tableColumn>
    <tableColumn id="34" xr3:uid="{00000000-0010-0000-0000-000022000000}" name="¿Cómo evalúa la capacidad de monitoreo 24/7 y la detección temprana de incidencias por parte de TeleVía?" totalsRowFunction="custom" dataDxfId="82" totalsRowDxfId="14">
      <totalsRowFormula>SUBTOTAL(101,M2:M13)</totalsRowFormula>
    </tableColumn>
    <tableColumn id="37" xr3:uid="{00000000-0010-0000-0000-000025000000}" name="¿Cómo califica la comunicación y notificación ante eventos críticos (alertas, incidencias en plaza, seguimiento)?" totalsRowFunction="custom" dataDxfId="81" totalsRowDxfId="13">
      <totalsRowFormula>SUBTOTAL(101,N2:N13)</totalsRowFormula>
    </tableColumn>
    <tableColumn id="40" xr3:uid="{00000000-0010-0000-0000-000028000000}" name="¿Cómo evalúa la gestión en la dispersión de pagos y la liquidez entregada por TeleVía?" totalsRowFunction="custom" dataDxfId="80" totalsRowDxfId="12">
      <totalsRowFormula>SUBTOTAL(101,O2:O13)</totalsRowFormula>
    </tableColumn>
    <tableColumn id="43" xr3:uid="{00000000-0010-0000-0000-00002B000000}" name="¿Qué tan satisfecho está con la transparencia y detalle de los reportes financieros de pago?" totalsRowFunction="custom" dataDxfId="79" totalsRowDxfId="11">
      <totalsRowFormula>SUBTOTAL(101,P2:P13)</totalsRowFormula>
    </tableColumn>
    <tableColumn id="46" xr3:uid="{00000000-0010-0000-0000-00002E000000}" name="¿Qué tan satisfecho está con el acompañamiento del equipo comercial de TeleVía (accesibilidad, proactividad, apoyo, gestión )?" totalsRowFunction="custom" dataDxfId="78" totalsRowDxfId="10">
      <totalsRowFormula>SUBTOTAL(101,Q2:Q13)</totalsRowFormula>
    </tableColumn>
    <tableColumn id="49" xr3:uid="{00000000-0010-0000-0000-000031000000}" name="¿Qué tan útil considera la información comercial que recibe de TeleVía para apoyar la toma de decisiones estratégicas?" totalsRowFunction="custom" dataDxfId="77" totalsRowDxfId="9">
      <totalsRowFormula>SUBTOTAL(101,R2:R13)</totalsRowFormula>
    </tableColumn>
    <tableColumn id="52" xr3:uid="{00000000-0010-0000-0000-000034000000}" name="¿Qué tan útil encuentra las reuniones mensuales/Revisiones para la toma de decisiones y seguimiento de Solicitudes?" totalsRowFunction="custom" dataDxfId="76" totalsRowDxfId="8">
      <totalsRowFormula>SUBTOTAL(101,S2:S13)</totalsRowFormula>
    </tableColumn>
    <tableColumn id="55" xr3:uid="{00000000-0010-0000-0000-000037000000}" name="¿Qué tan funcional considera el reponte de BI enviado ( aforos, tipo de aforo, segmento de aforo, frecuencia, aforo por hoarios, etc.) ?" totalsRowFunction="custom" dataDxfId="75" totalsRowDxfId="7">
      <totalsRowFormula>SUBTOTAL(101,T2:T13)</totalsRowFormula>
    </tableColumn>
    <tableColumn id="58" xr3:uid="{00000000-0010-0000-0000-00003A000000}" name="¿Cómo califica la comunicación proactiva de TeleVía sobre nuevas iniciativas, proyectos o cambios operativos?" totalsRowFunction="custom" dataDxfId="74" totalsRowDxfId="6">
      <totalsRowFormula>SUBTOTAL(101,U2:U13)</totalsRowFormula>
    </tableColumn>
    <tableColumn id="61" xr3:uid="{00000000-0010-0000-0000-00003D000000}" name="En general, ¿Qué tan satisfecho está con el servicio integral de TeleVía?" totalsRowFunction="custom" dataDxfId="73" totalsRowDxfId="5">
      <totalsRowFormula>SUBTOTAL(101,V2:V13)</totalsRowFormula>
    </tableColumn>
    <tableColumn id="5" xr3:uid="{C75258FA-78C8-4D7B-A21E-64F22E4F6548}" name="Total Promedio General" totalsRowFunction="average" dataDxfId="72" totalsRowDxfId="4">
      <calculatedColumnFormula>AVERAGE(Table1[[#This Row],[¿Cómo evalúa la eficiencia operativa de TeleVía en la gestión diaria de cruces y registro de transacciones?
]:[En general, ¿Qué tan satisfecho está con el servicio integral de TeleVía?]])</calculatedColumnFormula>
    </tableColumn>
    <tableColumn id="64" xr3:uid="{00000000-0010-0000-0000-000040000000}" name="¿Qué aspectos considera que TeleVía realiza correctamente y debe mantener?" dataDxfId="71" totalsRowDxfId="3"/>
    <tableColumn id="67" xr3:uid="{00000000-0010-0000-0000-000043000000}" name="¿Qué aspectos considera que TeleVía realiza incorrectamente y debe corregir, (Que no este  mencionado arriba)?" dataDxfId="70" totalsRowDxfId="2"/>
    <tableColumn id="70" xr3:uid="{00000000-0010-0000-0000-000046000000}" name="Comentarios adicionales / contacto para seguimiento (nombre y correo si desea respuesta personalizada):" dataDxfId="69" totalsRow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116307-513D-46FE-8209-739D44444852}" name="Table13" displayName="Table13" ref="A1:W18" totalsRowCount="1" headerRowDxfId="68" dataDxfId="67">
  <autoFilter ref="A1:W17" xr:uid="{00116307-513D-46FE-8209-739D44444852}"/>
  <sortState xmlns:xlrd2="http://schemas.microsoft.com/office/spreadsheetml/2017/richdata2" ref="A2:W17">
    <sortCondition ref="B1:B17"/>
  </sortState>
  <tableColumns count="23">
    <tableColumn id="10" xr3:uid="{3ABC102D-27B3-44EC-B387-9680421D5488}" name="Nombre_x000a_" dataDxfId="66" totalsRowDxfId="44"/>
    <tableColumn id="13" xr3:uid="{7C2C7786-0448-4841-9BE2-20B81466A483}" name="Nombre de la Concesión " dataDxfId="65" totalsRowDxfId="43"/>
    <tableColumn id="16" xr3:uid="{4F78261D-2B19-47CB-B88F-29A87CA1BB03}" name="Área / Cargo " dataDxfId="64" totalsRowDxfId="42"/>
    <tableColumn id="19" xr3:uid="{FC582904-3593-4D14-9D1A-9701231E4494}" name="¿Cómo evalúa la eficiencia operativa de TeleVía en la gestión diaria de cruces y registro de transacciones?_x000a_" totalsRowFunction="custom" dataDxfId="63" totalsRowDxfId="41">
      <totalsRowFormula>SUBTOTAL(101,D6:D17)</totalsRowFormula>
    </tableColumn>
    <tableColumn id="22" xr3:uid="{44DE00D7-68A5-4348-8B02-7FE19F2A12AB}" name="¿Cómo califica los tiempos de respuesta y resolución de incidencias operativas?" totalsRowFunction="custom" dataDxfId="62" totalsRowDxfId="40">
      <totalsRowFormula>SUBTOTAL(101,E6:E17)</totalsRowFormula>
    </tableColumn>
    <tableColumn id="25" xr3:uid="{E532765E-6228-4D49-9B25-F991C55870E3}" name="¿Qué tan satisfecho está con la precisión de las conciliaciones operativas entregadas por TeleVía?" totalsRowFunction="custom" dataDxfId="61" totalsRowDxfId="39">
      <totalsRowFormula>SUBTOTAL(101,F6:F17)</totalsRowFormula>
    </tableColumn>
    <tableColumn id="28" xr3:uid="{553CDBD0-DAE9-44DE-9702-E80D7FAC2C4E}" name="¿Cómo valora la facilidad de los procesos operativos (Ej. Calculo de comisiones, contraprestaciones)?" totalsRowFunction="custom" dataDxfId="60" totalsRowDxfId="38">
      <totalsRowFormula>SUBTOTAL(101,G6:G17)</totalsRowFormula>
    </tableColumn>
    <tableColumn id="31" xr3:uid="{6FE5EE31-81D7-4674-9BC8-E7DE1DC9AD61}" name="¿Cómo valora la gestión de incobrables, discrepancias, (plazo, información, soporte)?" totalsRowFunction="custom" dataDxfId="59" totalsRowDxfId="37">
      <totalsRowFormula>SUBTOTAL(101,H6:H17)</totalsRowFormula>
    </tableColumn>
    <tableColumn id="34" xr3:uid="{DD290215-C841-4B66-8630-0B8356B1F444}" name="¿Cómo evalúa la capacidad de monitoreo 24/7 y la detección temprana de incidencias por parte de TeleVía?" totalsRowFunction="custom" dataDxfId="58" totalsRowDxfId="36">
      <totalsRowFormula>SUBTOTAL(101,I6:I17)</totalsRowFormula>
    </tableColumn>
    <tableColumn id="37" xr3:uid="{4C7EA9EB-51A1-445B-9AF3-8CCD5B02F80C}" name="¿Cómo califica la comunicación y notificación ante eventos críticos (alertas, incidencias en plaza, seguimiento)?" totalsRowFunction="custom" dataDxfId="57" totalsRowDxfId="35">
      <totalsRowFormula>SUBTOTAL(101,J6:J17)</totalsRowFormula>
    </tableColumn>
    <tableColumn id="40" xr3:uid="{21E9E764-973C-4C3E-BFCF-5E5A73FBD2D4}" name="¿Cómo evalúa la gestión en la dispersión de pagos y la liquidez entregada por TeleVía?" totalsRowFunction="custom" dataDxfId="56" totalsRowDxfId="34">
      <totalsRowFormula>SUBTOTAL(101,K6:K17)</totalsRowFormula>
    </tableColumn>
    <tableColumn id="43" xr3:uid="{4F0F08C0-796E-4ED1-9373-48815A13BC0A}" name="¿Qué tan satisfecho está con la transparencia y detalle de los reportes financieros de pago?" totalsRowFunction="custom" dataDxfId="55" totalsRowDxfId="33">
      <totalsRowFormula>SUBTOTAL(101,L6:L17)</totalsRowFormula>
    </tableColumn>
    <tableColumn id="46" xr3:uid="{99F18FE1-94E8-484F-9A49-9088B45E51FB}" name="¿Qué tan satisfecho está con el acompañamiento del equipo comercial de TeleVía (accesibilidad, proactividad, apoyo, gestión )?" totalsRowFunction="custom" dataDxfId="54" totalsRowDxfId="32">
      <totalsRowFormula>SUBTOTAL(101,M6:M17)</totalsRowFormula>
    </tableColumn>
    <tableColumn id="49" xr3:uid="{6BC8AE6F-12AC-4700-B400-35E2B0F057F9}" name="¿Qué tan útil considera la información comercial que recibe de TeleVía para apoyar la toma de decisiones estratégicas?" totalsRowFunction="custom" dataDxfId="53" totalsRowDxfId="31">
      <totalsRowFormula>SUBTOTAL(101,N6:N17)</totalsRowFormula>
    </tableColumn>
    <tableColumn id="52" xr3:uid="{E3A0B55B-94A5-4573-A4B5-BCB40FA9A7C6}" name="¿Qué tan útil encuentra las reuniones mensuales/Revisiones para la toma de decisiones y seguimiento de Solicitudes?" totalsRowFunction="custom" dataDxfId="52" totalsRowDxfId="30">
      <totalsRowFormula>SUBTOTAL(101,O6:O17)</totalsRowFormula>
    </tableColumn>
    <tableColumn id="55" xr3:uid="{733479F9-D660-4ACF-870F-C9ECC5F63848}" name="¿Qué tan funcional considera el reponte de BI enviado ( aforos, tipo de aforo, segmento de aforo, frecuencia, aforo por hoarios, etc.) ?" totalsRowFunction="custom" dataDxfId="51" totalsRowDxfId="29">
      <totalsRowFormula>SUBTOTAL(101,P6:P17)</totalsRowFormula>
    </tableColumn>
    <tableColumn id="58" xr3:uid="{42ABC825-608C-494C-B429-64C3793008FE}" name="¿Cómo califica la comunicación proactiva de TeleVía sobre nuevas iniciativas, proyectos o cambios operativos?" totalsRowFunction="custom" dataDxfId="50" totalsRowDxfId="28">
      <totalsRowFormula>SUBTOTAL(101,Q6:Q17)</totalsRowFormula>
    </tableColumn>
    <tableColumn id="61" xr3:uid="{B1235E3F-5D89-449E-A2CA-528C6B2DE539}" name="En general, ¿Qué tan satisfecho está con el servicio integral de TeleVía?" totalsRowFunction="custom" dataDxfId="49" totalsRowDxfId="27">
      <totalsRowFormula>SUBTOTAL(101,R6:R17)</totalsRowFormula>
    </tableColumn>
    <tableColumn id="64" xr3:uid="{16663910-B0BA-4F82-8355-1BF1B9FEF24C}" name="¿Qué probabilidades hay de que recomiende usar TeleVía?" totalsRowFunction="custom" dataDxfId="48" totalsRowDxfId="26">
      <totalsRowFormula>SUBTOTAL(101,Table1[Total Promedio General])</totalsRowFormula>
    </tableColumn>
    <tableColumn id="2" xr3:uid="{307BA440-BFB8-4114-9C55-89CD5E51155D}" name="Total Promedio General" dataDxfId="0" totalsRowDxfId="22">
      <calculatedColumnFormula>AVERAGE(Table13[[#This Row],[¿Cómo evalúa la eficiencia operativa de TeleVía en la gestión diaria de cruces y registro de transacciones?
]:[¿Qué probabilidades hay de que recomiende usar TeleVía?]])</calculatedColumnFormula>
    </tableColumn>
    <tableColumn id="67" xr3:uid="{7A9BD53C-06F6-4540-A588-D9E0A9C1E056}" name="¿Qué aspectos considera que TeleVía realiza correctamente y debe mantener?" dataDxfId="47" totalsRowDxfId="25"/>
    <tableColumn id="70" xr3:uid="{40905F0B-7F92-4264-B22D-80C64531F73C}" name="¿Qué aspectos considera que TeleVía realiza incorrectamente y debe corregir, (Que no este  mencionado arriba)?" dataDxfId="46" totalsRowDxfId="24"/>
    <tableColumn id="73" xr3:uid="{1E3BA8F1-5041-48BA-8A8C-6BE7D34475A0}" name="Comentarios adicionales / contacto para seguimiento (nombre y correo si desea respuesta personalizada):" dataDxfId="45" totalsRowDxfId="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4"/>
  <sheetViews>
    <sheetView topLeftCell="E1" workbookViewId="0">
      <pane ySplit="1" topLeftCell="A13" activePane="bottomLeft" state="frozen"/>
      <selection activeCell="J1" sqref="J1"/>
      <selection pane="bottomLeft" activeCell="F13" sqref="F13"/>
    </sheetView>
  </sheetViews>
  <sheetFormatPr baseColWidth="10" defaultColWidth="8.7265625" defaultRowHeight="100" customHeight="1" x14ac:dyDescent="0.35"/>
  <cols>
    <col min="1" max="4" width="20" hidden="1" customWidth="1"/>
    <col min="5" max="7" width="20" bestFit="1" customWidth="1"/>
    <col min="8" max="22" width="20" style="9" bestFit="1" customWidth="1"/>
    <col min="23" max="23" width="20" style="10" customWidth="1"/>
    <col min="24" max="26" width="20" style="2" bestFit="1" customWidth="1"/>
  </cols>
  <sheetData>
    <row r="1" spans="1:26" s="2" customFormat="1" ht="100" customHeight="1" x14ac:dyDescent="0.35">
      <c r="A1" s="2" t="s">
        <v>0</v>
      </c>
      <c r="B1" s="2" t="s">
        <v>1</v>
      </c>
      <c r="C1" s="2" t="s">
        <v>2</v>
      </c>
      <c r="D1" s="2" t="s">
        <v>3</v>
      </c>
      <c r="E1" s="2" t="s">
        <v>4</v>
      </c>
      <c r="F1" s="2" t="s">
        <v>5</v>
      </c>
      <c r="G1" s="2"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8" t="s">
        <v>161</v>
      </c>
      <c r="X1" s="2" t="s">
        <v>22</v>
      </c>
      <c r="Y1" s="2" t="s">
        <v>23</v>
      </c>
      <c r="Z1" s="2" t="s">
        <v>24</v>
      </c>
    </row>
    <row r="2" spans="1:26" ht="100" customHeight="1" x14ac:dyDescent="0.35">
      <c r="A2">
        <v>24</v>
      </c>
      <c r="B2" s="1">
        <v>46125.673344907402</v>
      </c>
      <c r="C2" s="1">
        <v>46125.676064814797</v>
      </c>
      <c r="D2" t="s">
        <v>25</v>
      </c>
      <c r="E2" t="s">
        <v>26</v>
      </c>
      <c r="F2" t="s">
        <v>27</v>
      </c>
      <c r="G2" t="s">
        <v>28</v>
      </c>
      <c r="H2" s="9">
        <v>5</v>
      </c>
      <c r="I2" s="9">
        <v>5</v>
      </c>
      <c r="J2" s="9">
        <v>6</v>
      </c>
      <c r="K2" s="9">
        <v>6</v>
      </c>
      <c r="L2" s="9">
        <v>6</v>
      </c>
      <c r="M2" s="9">
        <v>6</v>
      </c>
      <c r="N2" s="9">
        <v>6</v>
      </c>
      <c r="O2" s="9">
        <v>8</v>
      </c>
      <c r="P2" s="9">
        <v>5</v>
      </c>
      <c r="Q2" s="9">
        <v>9</v>
      </c>
      <c r="R2" s="9">
        <v>9</v>
      </c>
      <c r="S2" s="9">
        <v>7</v>
      </c>
      <c r="T2" s="9">
        <v>5</v>
      </c>
      <c r="U2" s="9">
        <v>7</v>
      </c>
      <c r="V2" s="9">
        <v>6</v>
      </c>
      <c r="W2" s="10">
        <f>AVERAGE(Table1[[#This Row],[¿Cómo evalúa la eficiencia operativa de TeleVía en la gestión diaria de cruces y registro de transacciones?
]:[En general, ¿Qué tan satisfecho está con el servicio integral de TeleVía?]])</f>
        <v>6.4</v>
      </c>
      <c r="X2" s="2" t="s">
        <v>29</v>
      </c>
      <c r="Y2" s="2" t="s">
        <v>30</v>
      </c>
      <c r="Z2" s="2" t="s">
        <v>31</v>
      </c>
    </row>
    <row r="3" spans="1:26" ht="100" customHeight="1" x14ac:dyDescent="0.35">
      <c r="A3">
        <v>25</v>
      </c>
      <c r="B3" s="1">
        <v>46133.710462962998</v>
      </c>
      <c r="C3" s="1">
        <v>46133.724502314799</v>
      </c>
      <c r="D3" t="s">
        <v>25</v>
      </c>
      <c r="E3" t="s">
        <v>32</v>
      </c>
      <c r="F3" t="s">
        <v>33</v>
      </c>
      <c r="G3" t="s">
        <v>34</v>
      </c>
      <c r="H3" s="9">
        <v>6</v>
      </c>
      <c r="I3" s="9">
        <v>6</v>
      </c>
      <c r="J3" s="9">
        <v>4</v>
      </c>
      <c r="K3" s="9">
        <v>7</v>
      </c>
      <c r="L3" s="9">
        <v>4</v>
      </c>
      <c r="M3" s="9">
        <v>6</v>
      </c>
      <c r="N3" s="9">
        <v>6</v>
      </c>
      <c r="O3" s="9">
        <v>7</v>
      </c>
      <c r="P3" s="9">
        <v>7</v>
      </c>
      <c r="Q3" s="9">
        <v>8</v>
      </c>
      <c r="R3" s="9">
        <v>8</v>
      </c>
      <c r="S3" s="9">
        <v>7</v>
      </c>
      <c r="T3" s="9">
        <v>5</v>
      </c>
      <c r="U3" s="9">
        <v>6</v>
      </c>
      <c r="V3" s="9">
        <v>7</v>
      </c>
      <c r="W3" s="10">
        <f>AVERAGE(Table1[[#This Row],[¿Cómo evalúa la eficiencia operativa de TeleVía en la gestión diaria de cruces y registro de transacciones?
]:[En general, ¿Qué tan satisfecho está con el servicio integral de TeleVía?]])</f>
        <v>6.2666666666666666</v>
      </c>
      <c r="X3" s="2" t="s">
        <v>35</v>
      </c>
      <c r="Y3" s="2" t="s">
        <v>36</v>
      </c>
      <c r="Z3" s="2" t="s">
        <v>37</v>
      </c>
    </row>
    <row r="4" spans="1:26" ht="100" customHeight="1" x14ac:dyDescent="0.35">
      <c r="A4">
        <v>26</v>
      </c>
      <c r="B4" s="1">
        <v>46133.748668981498</v>
      </c>
      <c r="C4" s="1">
        <v>46133.757326388899</v>
      </c>
      <c r="D4" t="s">
        <v>25</v>
      </c>
      <c r="E4" t="s">
        <v>38</v>
      </c>
      <c r="F4" t="s">
        <v>33</v>
      </c>
      <c r="G4" t="s">
        <v>39</v>
      </c>
      <c r="H4" s="9">
        <v>7</v>
      </c>
      <c r="I4" s="9">
        <v>7</v>
      </c>
      <c r="J4" s="9">
        <v>5</v>
      </c>
      <c r="K4" s="9">
        <v>5</v>
      </c>
      <c r="L4" s="9">
        <v>5</v>
      </c>
      <c r="M4" s="9">
        <v>6</v>
      </c>
      <c r="N4" s="9">
        <v>7</v>
      </c>
      <c r="O4" s="9">
        <v>7</v>
      </c>
      <c r="P4" s="9">
        <v>6</v>
      </c>
      <c r="Q4" s="9">
        <v>7</v>
      </c>
      <c r="R4" s="9">
        <v>7</v>
      </c>
      <c r="S4" s="9">
        <v>6</v>
      </c>
      <c r="T4" s="9">
        <v>7</v>
      </c>
      <c r="U4" s="9">
        <v>7</v>
      </c>
      <c r="V4" s="9">
        <v>6</v>
      </c>
      <c r="W4" s="10">
        <f>AVERAGE(Table1[[#This Row],[¿Cómo evalúa la eficiencia operativa de TeleVía en la gestión diaria de cruces y registro de transacciones?
]:[En general, ¿Qué tan satisfecho está con el servicio integral de TeleVía?]])</f>
        <v>6.333333333333333</v>
      </c>
      <c r="X4" s="2" t="s">
        <v>40</v>
      </c>
      <c r="Y4" s="2" t="s">
        <v>41</v>
      </c>
      <c r="Z4" s="2" t="s">
        <v>42</v>
      </c>
    </row>
    <row r="5" spans="1:26" ht="100" customHeight="1" x14ac:dyDescent="0.35">
      <c r="A5">
        <v>21</v>
      </c>
      <c r="B5" s="1">
        <v>46120.595613425903</v>
      </c>
      <c r="C5" s="1">
        <v>46120.615729166697</v>
      </c>
      <c r="D5" t="s">
        <v>25</v>
      </c>
      <c r="E5" t="s">
        <v>43</v>
      </c>
      <c r="F5" t="s">
        <v>44</v>
      </c>
      <c r="G5" t="s">
        <v>45</v>
      </c>
      <c r="H5" s="9">
        <v>3</v>
      </c>
      <c r="I5" s="9">
        <v>3</v>
      </c>
      <c r="J5" s="9">
        <v>4</v>
      </c>
      <c r="K5" s="9">
        <v>5</v>
      </c>
      <c r="L5" s="9">
        <v>3</v>
      </c>
      <c r="M5" s="9">
        <v>5</v>
      </c>
      <c r="N5" s="9">
        <v>3</v>
      </c>
      <c r="O5" s="9">
        <v>5</v>
      </c>
      <c r="P5" s="9">
        <v>5</v>
      </c>
      <c r="Q5" s="9">
        <v>4</v>
      </c>
      <c r="R5" s="9">
        <v>5</v>
      </c>
      <c r="S5" s="9">
        <v>4</v>
      </c>
      <c r="T5" s="9">
        <v>5</v>
      </c>
      <c r="U5" s="9">
        <v>4</v>
      </c>
      <c r="V5" s="9">
        <v>4</v>
      </c>
      <c r="W5" s="10">
        <f>AVERAGE(Table1[[#This Row],[¿Cómo evalúa la eficiencia operativa de TeleVía en la gestión diaria de cruces y registro de transacciones?
]:[En general, ¿Qué tan satisfecho está con el servicio integral de TeleVía?]])</f>
        <v>4.1333333333333337</v>
      </c>
      <c r="X5" s="11" t="s">
        <v>46</v>
      </c>
      <c r="Y5" s="2" t="s">
        <v>47</v>
      </c>
      <c r="Z5" s="2" t="s">
        <v>48</v>
      </c>
    </row>
    <row r="6" spans="1:26" ht="100" customHeight="1" x14ac:dyDescent="0.35">
      <c r="A6">
        <v>22</v>
      </c>
      <c r="B6" s="1">
        <v>46120.8378240741</v>
      </c>
      <c r="C6" s="1">
        <v>46120.841539351903</v>
      </c>
      <c r="D6" t="s">
        <v>25</v>
      </c>
      <c r="E6" t="s">
        <v>49</v>
      </c>
      <c r="F6" t="s">
        <v>44</v>
      </c>
      <c r="G6" t="s">
        <v>50</v>
      </c>
      <c r="H6" s="9">
        <v>7</v>
      </c>
      <c r="I6" s="9">
        <v>7</v>
      </c>
      <c r="J6" s="9">
        <v>4</v>
      </c>
      <c r="K6" s="9">
        <v>5</v>
      </c>
      <c r="L6" s="9">
        <v>4</v>
      </c>
      <c r="M6" s="9">
        <v>6</v>
      </c>
      <c r="N6" s="9">
        <v>5</v>
      </c>
      <c r="O6" s="9">
        <v>4</v>
      </c>
      <c r="P6" s="9">
        <v>5</v>
      </c>
      <c r="Q6" s="9">
        <v>10</v>
      </c>
      <c r="R6" s="9">
        <v>7</v>
      </c>
      <c r="S6" s="9">
        <v>5</v>
      </c>
      <c r="T6" s="9">
        <v>5</v>
      </c>
      <c r="U6" s="9">
        <v>8</v>
      </c>
      <c r="V6" s="9">
        <v>6</v>
      </c>
      <c r="W6" s="10">
        <f>AVERAGE(Table1[[#This Row],[¿Cómo evalúa la eficiencia operativa de TeleVía en la gestión diaria de cruces y registro de transacciones?
]:[En general, ¿Qué tan satisfecho está con el servicio integral de TeleVía?]])</f>
        <v>5.8666666666666663</v>
      </c>
      <c r="X6" s="2" t="s">
        <v>51</v>
      </c>
      <c r="Y6" s="2" t="s">
        <v>52</v>
      </c>
      <c r="Z6" s="2" t="s">
        <v>53</v>
      </c>
    </row>
    <row r="7" spans="1:26" ht="100" customHeight="1" x14ac:dyDescent="0.35">
      <c r="A7">
        <v>27</v>
      </c>
      <c r="B7" s="1">
        <v>46134.454143518502</v>
      </c>
      <c r="C7" s="1">
        <v>46134.457523148099</v>
      </c>
      <c r="D7" t="s">
        <v>25</v>
      </c>
      <c r="E7" t="s">
        <v>54</v>
      </c>
      <c r="F7" t="s">
        <v>55</v>
      </c>
      <c r="G7" t="s">
        <v>56</v>
      </c>
      <c r="H7" s="9">
        <v>10</v>
      </c>
      <c r="I7" s="9">
        <v>10</v>
      </c>
      <c r="J7" s="9">
        <v>10</v>
      </c>
      <c r="K7" s="9">
        <v>10</v>
      </c>
      <c r="L7" s="9">
        <v>8</v>
      </c>
      <c r="M7" s="9">
        <v>10</v>
      </c>
      <c r="N7" s="9">
        <v>9</v>
      </c>
      <c r="O7" s="9">
        <v>10</v>
      </c>
      <c r="P7" s="9">
        <v>10</v>
      </c>
      <c r="Q7" s="9">
        <v>10</v>
      </c>
      <c r="R7" s="9">
        <v>10</v>
      </c>
      <c r="S7" s="9">
        <v>9</v>
      </c>
      <c r="T7" s="9">
        <v>10</v>
      </c>
      <c r="U7" s="9">
        <v>10</v>
      </c>
      <c r="V7" s="9">
        <v>9</v>
      </c>
      <c r="W7" s="10">
        <f>AVERAGE(Table1[[#This Row],[¿Cómo evalúa la eficiencia operativa de TeleVía en la gestión diaria de cruces y registro de transacciones?
]:[En general, ¿Qué tan satisfecho está con el servicio integral de TeleVía?]])</f>
        <v>9.6666666666666661</v>
      </c>
      <c r="X7" s="2" t="s">
        <v>57</v>
      </c>
      <c r="Y7" s="2" t="s">
        <v>58</v>
      </c>
      <c r="Z7" s="2" t="s">
        <v>59</v>
      </c>
    </row>
    <row r="8" spans="1:26" ht="100" customHeight="1" x14ac:dyDescent="0.35">
      <c r="A8">
        <v>29</v>
      </c>
      <c r="B8" s="1">
        <v>46137.573761574102</v>
      </c>
      <c r="C8" s="1">
        <v>46137.575671296298</v>
      </c>
      <c r="D8" t="s">
        <v>25</v>
      </c>
      <c r="E8" t="s">
        <v>60</v>
      </c>
      <c r="F8" t="s">
        <v>55</v>
      </c>
      <c r="G8" t="s">
        <v>61</v>
      </c>
      <c r="H8" s="9">
        <v>9</v>
      </c>
      <c r="I8" s="9">
        <v>7</v>
      </c>
      <c r="J8" s="9">
        <v>8</v>
      </c>
      <c r="K8" s="9">
        <v>7</v>
      </c>
      <c r="L8" s="9">
        <v>7</v>
      </c>
      <c r="M8" s="9">
        <v>7</v>
      </c>
      <c r="N8" s="9">
        <v>9</v>
      </c>
      <c r="O8" s="9">
        <v>9</v>
      </c>
      <c r="P8" s="9">
        <v>8</v>
      </c>
      <c r="Q8" s="9">
        <v>9</v>
      </c>
      <c r="R8" s="9">
        <v>8</v>
      </c>
      <c r="S8" s="9">
        <v>8</v>
      </c>
      <c r="T8" s="9">
        <v>9</v>
      </c>
      <c r="U8" s="9">
        <v>9</v>
      </c>
      <c r="V8" s="9">
        <v>8</v>
      </c>
      <c r="W8" s="10">
        <f>AVERAGE(Table1[[#This Row],[¿Cómo evalúa la eficiencia operativa de TeleVía en la gestión diaria de cruces y registro de transacciones?
]:[En general, ¿Qué tan satisfecho está con el servicio integral de TeleVía?]])</f>
        <v>8.1333333333333329</v>
      </c>
      <c r="X8" s="2" t="s">
        <v>62</v>
      </c>
      <c r="Y8" s="2" t="s">
        <v>63</v>
      </c>
      <c r="Z8" s="11" t="s">
        <v>46</v>
      </c>
    </row>
    <row r="9" spans="1:26" ht="100" customHeight="1" x14ac:dyDescent="0.35">
      <c r="A9">
        <v>31</v>
      </c>
      <c r="B9" s="1">
        <v>46148.606770833336</v>
      </c>
      <c r="C9" s="1">
        <v>46153.608136574097</v>
      </c>
      <c r="D9" t="s">
        <v>25</v>
      </c>
      <c r="E9" t="s">
        <v>64</v>
      </c>
      <c r="F9" t="s">
        <v>65</v>
      </c>
      <c r="G9" t="s">
        <v>66</v>
      </c>
      <c r="H9" s="9">
        <v>7</v>
      </c>
      <c r="I9" s="9">
        <v>6</v>
      </c>
      <c r="J9" s="9">
        <v>7</v>
      </c>
      <c r="K9" s="9">
        <v>9</v>
      </c>
      <c r="L9" s="9">
        <v>7</v>
      </c>
      <c r="M9" s="9">
        <v>8</v>
      </c>
      <c r="N9" s="9">
        <v>6</v>
      </c>
      <c r="O9" s="9">
        <v>10</v>
      </c>
      <c r="P9" s="9">
        <v>10</v>
      </c>
      <c r="Q9" s="9">
        <v>9</v>
      </c>
      <c r="R9" s="9">
        <v>8</v>
      </c>
      <c r="S9" s="9">
        <v>9</v>
      </c>
      <c r="T9" s="9">
        <v>8</v>
      </c>
      <c r="U9" s="9">
        <v>8</v>
      </c>
      <c r="V9" s="9">
        <v>8</v>
      </c>
      <c r="W9" s="10">
        <f>AVERAGE(Table1[[#This Row],[¿Cómo evalúa la eficiencia operativa de TeleVía en la gestión diaria de cruces y registro de transacciones?
]:[En general, ¿Qué tan satisfecho está con el servicio integral de TeleVía?]])</f>
        <v>8</v>
      </c>
      <c r="X9" s="2" t="s">
        <v>67</v>
      </c>
      <c r="Y9" s="2" t="s">
        <v>68</v>
      </c>
      <c r="Z9" s="2" t="s">
        <v>69</v>
      </c>
    </row>
    <row r="10" spans="1:26" ht="100" customHeight="1" x14ac:dyDescent="0.35">
      <c r="A10">
        <v>23</v>
      </c>
      <c r="B10" s="1">
        <v>46122.432638888902</v>
      </c>
      <c r="C10" s="1">
        <v>46122.437743055598</v>
      </c>
      <c r="D10" t="s">
        <v>25</v>
      </c>
      <c r="E10" t="s">
        <v>70</v>
      </c>
      <c r="F10" t="s">
        <v>71</v>
      </c>
      <c r="G10" t="s">
        <v>72</v>
      </c>
      <c r="H10" s="9">
        <v>8</v>
      </c>
      <c r="I10" s="9">
        <v>8</v>
      </c>
      <c r="J10" s="9">
        <v>8</v>
      </c>
      <c r="K10" s="9">
        <v>9</v>
      </c>
      <c r="L10" s="9">
        <v>8</v>
      </c>
      <c r="M10" s="9">
        <v>9</v>
      </c>
      <c r="N10" s="9">
        <v>9</v>
      </c>
      <c r="O10" s="9">
        <v>10</v>
      </c>
      <c r="P10" s="9">
        <v>9</v>
      </c>
      <c r="Q10" s="9">
        <v>10</v>
      </c>
      <c r="R10" s="9">
        <v>9</v>
      </c>
      <c r="S10" s="9">
        <v>10</v>
      </c>
      <c r="T10" s="9">
        <v>10</v>
      </c>
      <c r="U10" s="9">
        <v>9</v>
      </c>
      <c r="V10" s="9">
        <v>9</v>
      </c>
      <c r="W10" s="10">
        <f>AVERAGE(Table1[[#This Row],[¿Cómo evalúa la eficiencia operativa de TeleVía en la gestión diaria de cruces y registro de transacciones?
]:[En general, ¿Qué tan satisfecho está con el servicio integral de TeleVía?]])</f>
        <v>9</v>
      </c>
      <c r="X10" s="2" t="s">
        <v>73</v>
      </c>
      <c r="Y10" s="2" t="s">
        <v>74</v>
      </c>
      <c r="Z10" s="2" t="s">
        <v>75</v>
      </c>
    </row>
    <row r="11" spans="1:26" ht="100" customHeight="1" x14ac:dyDescent="0.35">
      <c r="A11">
        <v>20</v>
      </c>
      <c r="B11" s="1">
        <v>46120.559236111098</v>
      </c>
      <c r="C11" s="1">
        <v>46120.562430555598</v>
      </c>
      <c r="D11" t="s">
        <v>25</v>
      </c>
      <c r="E11" t="s">
        <v>76</v>
      </c>
      <c r="F11" t="s">
        <v>77</v>
      </c>
      <c r="G11" t="s">
        <v>78</v>
      </c>
      <c r="H11" s="9">
        <v>8</v>
      </c>
      <c r="I11" s="9">
        <v>6</v>
      </c>
      <c r="J11" s="9">
        <v>7</v>
      </c>
      <c r="K11" s="9">
        <v>5</v>
      </c>
      <c r="L11" s="9">
        <v>5</v>
      </c>
      <c r="M11" s="9">
        <v>5</v>
      </c>
      <c r="N11" s="9">
        <v>6</v>
      </c>
      <c r="O11" s="9">
        <v>9</v>
      </c>
      <c r="P11" s="9">
        <v>8</v>
      </c>
      <c r="Q11" s="9">
        <v>9</v>
      </c>
      <c r="R11" s="9">
        <v>9</v>
      </c>
      <c r="S11" s="9">
        <v>9</v>
      </c>
      <c r="T11" s="9">
        <v>7</v>
      </c>
      <c r="U11" s="9">
        <v>8</v>
      </c>
      <c r="V11" s="9">
        <v>6</v>
      </c>
      <c r="W11" s="10">
        <f>AVERAGE(Table1[[#This Row],[¿Cómo evalúa la eficiencia operativa de TeleVía en la gestión diaria de cruces y registro de transacciones?
]:[En general, ¿Qué tan satisfecho está con el servicio integral de TeleVía?]])</f>
        <v>7.1333333333333337</v>
      </c>
      <c r="X11" s="2" t="s">
        <v>79</v>
      </c>
      <c r="Y11" s="2" t="s">
        <v>80</v>
      </c>
      <c r="Z11" s="2" t="s">
        <v>76</v>
      </c>
    </row>
    <row r="12" spans="1:26" ht="100" customHeight="1" x14ac:dyDescent="0.35">
      <c r="A12">
        <v>30</v>
      </c>
      <c r="B12" s="1">
        <v>46147.886666666702</v>
      </c>
      <c r="C12" s="1">
        <v>46147.890960648103</v>
      </c>
      <c r="D12" t="s">
        <v>25</v>
      </c>
      <c r="E12" t="s">
        <v>81</v>
      </c>
      <c r="F12" t="s">
        <v>77</v>
      </c>
      <c r="G12" t="s">
        <v>72</v>
      </c>
      <c r="H12" s="9">
        <v>7</v>
      </c>
      <c r="I12" s="9">
        <v>7</v>
      </c>
      <c r="J12" s="9">
        <v>5</v>
      </c>
      <c r="K12" s="9">
        <v>5</v>
      </c>
      <c r="L12" s="9">
        <v>5</v>
      </c>
      <c r="M12" s="9">
        <v>8</v>
      </c>
      <c r="N12" s="9">
        <v>5</v>
      </c>
      <c r="O12" s="9">
        <v>7</v>
      </c>
      <c r="P12" s="9">
        <v>7</v>
      </c>
      <c r="Q12" s="9">
        <v>8</v>
      </c>
      <c r="R12" s="9">
        <v>8</v>
      </c>
      <c r="S12" s="9">
        <v>8</v>
      </c>
      <c r="T12" s="9">
        <v>9</v>
      </c>
      <c r="U12" s="9">
        <v>5</v>
      </c>
      <c r="V12" s="9">
        <v>7</v>
      </c>
      <c r="W12" s="10">
        <f>AVERAGE(Table1[[#This Row],[¿Cómo evalúa la eficiencia operativa de TeleVía en la gestión diaria de cruces y registro de transacciones?
]:[En general, ¿Qué tan satisfecho está con el servicio integral de TeleVía?]])</f>
        <v>6.7333333333333334</v>
      </c>
      <c r="X12" s="2" t="s">
        <v>82</v>
      </c>
      <c r="Y12" s="2" t="s">
        <v>83</v>
      </c>
      <c r="Z12" s="2" t="s">
        <v>84</v>
      </c>
    </row>
    <row r="13" spans="1:26" ht="100" customHeight="1" x14ac:dyDescent="0.35">
      <c r="A13">
        <v>28</v>
      </c>
      <c r="B13" s="1">
        <v>46134.654456018499</v>
      </c>
      <c r="C13" s="1">
        <v>46134.662881944401</v>
      </c>
      <c r="D13" t="s">
        <v>25</v>
      </c>
      <c r="E13" t="s">
        <v>85</v>
      </c>
      <c r="F13" t="s">
        <v>86</v>
      </c>
      <c r="G13" t="s">
        <v>87</v>
      </c>
      <c r="H13" s="9">
        <v>8</v>
      </c>
      <c r="I13" s="9">
        <v>7</v>
      </c>
      <c r="J13" s="9">
        <v>7</v>
      </c>
      <c r="K13" s="9">
        <v>9</v>
      </c>
      <c r="L13" s="9">
        <v>7</v>
      </c>
      <c r="M13" s="9">
        <v>7</v>
      </c>
      <c r="N13" s="9">
        <v>7</v>
      </c>
      <c r="O13" s="9">
        <v>9</v>
      </c>
      <c r="P13" s="9">
        <v>9</v>
      </c>
      <c r="Q13" s="9">
        <v>8</v>
      </c>
      <c r="R13" s="9">
        <v>9</v>
      </c>
      <c r="S13" s="9">
        <v>8</v>
      </c>
      <c r="T13" s="9">
        <v>9</v>
      </c>
      <c r="U13" s="9">
        <v>7</v>
      </c>
      <c r="V13" s="9">
        <v>7</v>
      </c>
      <c r="W13" s="10">
        <f>AVERAGE(Table1[[#This Row],[¿Cómo evalúa la eficiencia operativa de TeleVía en la gestión diaria de cruces y registro de transacciones?
]:[En general, ¿Qué tan satisfecho está con el servicio integral de TeleVía?]])</f>
        <v>7.8666666666666663</v>
      </c>
      <c r="X13" s="2" t="s">
        <v>88</v>
      </c>
      <c r="Y13" s="2" t="s">
        <v>89</v>
      </c>
      <c r="Z13" s="2" t="s">
        <v>88</v>
      </c>
    </row>
    <row r="14" spans="1:26" ht="100" customHeight="1" x14ac:dyDescent="0.35">
      <c r="B14" s="1"/>
      <c r="C14" s="1"/>
      <c r="H14" s="10">
        <f>SUBTOTAL(101,H2:H13)</f>
        <v>7.083333333333333</v>
      </c>
      <c r="I14" s="10">
        <f>SUBTOTAL(101,I2:I13)</f>
        <v>6.583333333333333</v>
      </c>
      <c r="J14" s="10">
        <f>SUBTOTAL(101,J2:J13)</f>
        <v>6.25</v>
      </c>
      <c r="K14" s="10">
        <f>SUBTOTAL(101,K2:K13)</f>
        <v>6.833333333333333</v>
      </c>
      <c r="L14" s="10">
        <f>SUBTOTAL(101,L2:L13)</f>
        <v>5.75</v>
      </c>
      <c r="M14" s="10">
        <f>SUBTOTAL(101,M2:M13)</f>
        <v>6.916666666666667</v>
      </c>
      <c r="N14" s="10">
        <f>SUBTOTAL(101,N2:N13)</f>
        <v>6.5</v>
      </c>
      <c r="O14" s="10">
        <f>SUBTOTAL(101,O2:O13)</f>
        <v>7.916666666666667</v>
      </c>
      <c r="P14" s="10">
        <f>SUBTOTAL(101,P2:P13)</f>
        <v>7.416666666666667</v>
      </c>
      <c r="Q14" s="10">
        <f>SUBTOTAL(101,Q2:Q13)</f>
        <v>8.4166666666666661</v>
      </c>
      <c r="R14" s="10">
        <f>SUBTOTAL(101,R2:R13)</f>
        <v>8.0833333333333339</v>
      </c>
      <c r="S14" s="10">
        <f>SUBTOTAL(101,S2:S13)</f>
        <v>7.5</v>
      </c>
      <c r="T14" s="10">
        <f>SUBTOTAL(101,T2:T13)</f>
        <v>7.416666666666667</v>
      </c>
      <c r="U14" s="10">
        <f>SUBTOTAL(101,U2:U13)</f>
        <v>7.333333333333333</v>
      </c>
      <c r="V14" s="10">
        <f>SUBTOTAL(101,V2:V13)</f>
        <v>6.916666666666667</v>
      </c>
      <c r="W14" s="10">
        <f>SUBTOTAL(101,Table1[Total Promedio General])</f>
        <v>7.1277777777777773</v>
      </c>
    </row>
  </sheetData>
  <pageMargins left="0.7" right="0.7" top="0.75" bottom="0.75" header="0.3" footer="0.3"/>
  <pageSetup paperSize="9" orientation="portrait" r:id="rId1"/>
  <headerFooter>
    <oddFooter>&amp;R_x000D_&amp;1#&amp;"Aptos"&amp;8&amp;K000000 Interno</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B4811-57B4-4FAA-9931-C08587DB0E32}">
  <dimension ref="A1:BR18"/>
  <sheetViews>
    <sheetView topLeftCell="A17" zoomScale="95" zoomScaleNormal="95" workbookViewId="0">
      <selection activeCell="D18" sqref="D18:S18"/>
    </sheetView>
  </sheetViews>
  <sheetFormatPr baseColWidth="10" defaultColWidth="8.7265625" defaultRowHeight="122.5" customHeight="1" x14ac:dyDescent="0.35"/>
  <cols>
    <col min="1" max="19" width="20" style="2" bestFit="1" customWidth="1"/>
    <col min="20" max="20" width="20" style="2" customWidth="1"/>
    <col min="21" max="23" width="20" style="2" bestFit="1" customWidth="1"/>
    <col min="24" max="25" width="8.7265625" style="2"/>
    <col min="71" max="16384" width="8.7265625" style="2"/>
  </cols>
  <sheetData>
    <row r="1" spans="1:70" ht="122.5" customHeight="1" x14ac:dyDescent="0.35">
      <c r="A1" s="2" t="s">
        <v>4</v>
      </c>
      <c r="B1" s="2" t="s">
        <v>5</v>
      </c>
      <c r="C1" s="2" t="s">
        <v>6</v>
      </c>
      <c r="D1" s="2" t="s">
        <v>7</v>
      </c>
      <c r="E1" s="2" t="s">
        <v>8</v>
      </c>
      <c r="F1" s="2" t="s">
        <v>9</v>
      </c>
      <c r="G1" s="2" t="s">
        <v>10</v>
      </c>
      <c r="H1" s="2" t="s">
        <v>11</v>
      </c>
      <c r="I1" s="2" t="s">
        <v>12</v>
      </c>
      <c r="J1" s="2" t="s">
        <v>13</v>
      </c>
      <c r="K1" s="2" t="s">
        <v>14</v>
      </c>
      <c r="L1" s="2" t="s">
        <v>15</v>
      </c>
      <c r="M1" s="2" t="s">
        <v>16</v>
      </c>
      <c r="N1" s="2" t="s">
        <v>17</v>
      </c>
      <c r="O1" s="2" t="s">
        <v>18</v>
      </c>
      <c r="P1" s="2" t="s">
        <v>19</v>
      </c>
      <c r="Q1" s="2" t="s">
        <v>20</v>
      </c>
      <c r="R1" s="2" t="s">
        <v>21</v>
      </c>
      <c r="S1" s="2" t="s">
        <v>90</v>
      </c>
      <c r="T1" s="8" t="s">
        <v>161</v>
      </c>
      <c r="U1" s="2" t="s">
        <v>22</v>
      </c>
      <c r="V1" s="2" t="s">
        <v>23</v>
      </c>
      <c r="W1" s="2" t="s">
        <v>24</v>
      </c>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row>
    <row r="2" spans="1:70" ht="122.5" customHeight="1" x14ac:dyDescent="0.35">
      <c r="A2" s="2" t="s">
        <v>106</v>
      </c>
      <c r="B2" s="2" t="s">
        <v>27</v>
      </c>
      <c r="C2" s="2" t="s">
        <v>107</v>
      </c>
      <c r="D2" s="2">
        <v>8</v>
      </c>
      <c r="E2" s="2">
        <v>8</v>
      </c>
      <c r="F2" s="2">
        <v>6</v>
      </c>
      <c r="G2" s="2">
        <v>8</v>
      </c>
      <c r="H2" s="2">
        <v>6</v>
      </c>
      <c r="I2" s="2">
        <v>7</v>
      </c>
      <c r="J2" s="2">
        <v>8</v>
      </c>
      <c r="K2" s="2">
        <v>8</v>
      </c>
      <c r="L2" s="2">
        <v>7</v>
      </c>
      <c r="M2" s="2">
        <v>8</v>
      </c>
      <c r="N2" s="2">
        <v>8</v>
      </c>
      <c r="O2" s="2">
        <v>8</v>
      </c>
      <c r="P2" s="2">
        <v>8</v>
      </c>
      <c r="Q2" s="2">
        <v>8</v>
      </c>
      <c r="R2" s="2">
        <v>8</v>
      </c>
      <c r="S2" s="2">
        <v>9</v>
      </c>
      <c r="T2" s="10">
        <f>AVERAGE(Table13[[#This Row],[¿Cómo evalúa la eficiencia operativa de TeleVía en la gestión diaria de cruces y registro de transacciones?
]:[¿Qué probabilidades hay de que recomiende usar TeleVía?]])</f>
        <v>7.6875</v>
      </c>
      <c r="U2" s="2" t="s">
        <v>108</v>
      </c>
      <c r="V2" s="2" t="s">
        <v>109</v>
      </c>
      <c r="W2" s="2" t="s">
        <v>108</v>
      </c>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row>
    <row r="3" spans="1:70" ht="122.5" customHeight="1" x14ac:dyDescent="0.35">
      <c r="A3" s="2" t="s">
        <v>122</v>
      </c>
      <c r="B3" s="2" t="s">
        <v>27</v>
      </c>
      <c r="C3" s="2" t="s">
        <v>123</v>
      </c>
      <c r="D3" s="2">
        <v>6</v>
      </c>
      <c r="E3" s="2">
        <v>6</v>
      </c>
      <c r="F3" s="2">
        <v>5</v>
      </c>
      <c r="G3" s="2">
        <v>5</v>
      </c>
      <c r="H3" s="2">
        <v>5</v>
      </c>
      <c r="I3" s="2">
        <v>5</v>
      </c>
      <c r="J3" s="2">
        <v>6</v>
      </c>
      <c r="K3" s="2">
        <v>8</v>
      </c>
      <c r="L3" s="2">
        <v>6</v>
      </c>
      <c r="M3" s="2">
        <v>9</v>
      </c>
      <c r="N3" s="2">
        <v>7</v>
      </c>
      <c r="O3" s="2">
        <v>7</v>
      </c>
      <c r="P3" s="2">
        <v>9</v>
      </c>
      <c r="Q3" s="2">
        <v>7</v>
      </c>
      <c r="R3" s="2">
        <v>6</v>
      </c>
      <c r="S3" s="2">
        <v>6</v>
      </c>
      <c r="T3" s="10">
        <f>AVERAGE(Table13[[#This Row],[¿Cómo evalúa la eficiencia operativa de TeleVía en la gestión diaria de cruces y registro de transacciones?
]:[¿Qué probabilidades hay de que recomiende usar TeleVía?]])</f>
        <v>6.4375</v>
      </c>
      <c r="U3" s="2" t="s">
        <v>124</v>
      </c>
      <c r="V3" s="2" t="s">
        <v>125</v>
      </c>
      <c r="W3" s="2" t="s">
        <v>126</v>
      </c>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row>
    <row r="4" spans="1:70" ht="122.5" customHeight="1" x14ac:dyDescent="0.35">
      <c r="A4" s="2" t="s">
        <v>38</v>
      </c>
      <c r="B4" s="2" t="s">
        <v>33</v>
      </c>
      <c r="C4" s="2" t="s">
        <v>117</v>
      </c>
      <c r="D4" s="2">
        <v>8</v>
      </c>
      <c r="E4" s="2">
        <v>8</v>
      </c>
      <c r="F4" s="2">
        <v>8</v>
      </c>
      <c r="G4" s="2">
        <v>8</v>
      </c>
      <c r="H4" s="2">
        <v>6</v>
      </c>
      <c r="I4" s="2">
        <v>7</v>
      </c>
      <c r="J4" s="2">
        <v>7</v>
      </c>
      <c r="K4" s="2">
        <v>7</v>
      </c>
      <c r="L4" s="2">
        <v>8</v>
      </c>
      <c r="M4" s="2">
        <v>8</v>
      </c>
      <c r="N4" s="2">
        <v>8</v>
      </c>
      <c r="O4" s="2">
        <v>8</v>
      </c>
      <c r="P4" s="2">
        <v>9</v>
      </c>
      <c r="Q4" s="2">
        <v>7</v>
      </c>
      <c r="R4" s="2">
        <v>8</v>
      </c>
      <c r="S4" s="2">
        <v>9</v>
      </c>
      <c r="T4" s="10">
        <f>AVERAGE(Table13[[#This Row],[¿Cómo evalúa la eficiencia operativa de TeleVía en la gestión diaria de cruces y registro de transacciones?
]:[¿Qué probabilidades hay de que recomiende usar TeleVía?]])</f>
        <v>7.75</v>
      </c>
      <c r="U4" s="2" t="s">
        <v>118</v>
      </c>
      <c r="V4" s="2" t="s">
        <v>118</v>
      </c>
      <c r="W4" s="2" t="s">
        <v>118</v>
      </c>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row>
    <row r="5" spans="1:70" ht="122.5" customHeight="1" x14ac:dyDescent="0.35">
      <c r="A5" s="2" t="s">
        <v>49</v>
      </c>
      <c r="B5" s="2" t="s">
        <v>44</v>
      </c>
      <c r="C5" s="2" t="s">
        <v>50</v>
      </c>
      <c r="D5" s="2">
        <v>7</v>
      </c>
      <c r="E5" s="2">
        <v>8</v>
      </c>
      <c r="F5" s="2">
        <v>5</v>
      </c>
      <c r="G5" s="2">
        <v>5</v>
      </c>
      <c r="H5" s="2">
        <v>6</v>
      </c>
      <c r="I5" s="2">
        <v>9</v>
      </c>
      <c r="J5" s="2">
        <v>8</v>
      </c>
      <c r="K5" s="2">
        <v>6</v>
      </c>
      <c r="L5" s="2">
        <v>6</v>
      </c>
      <c r="M5" s="2">
        <v>9</v>
      </c>
      <c r="N5" s="2">
        <v>7</v>
      </c>
      <c r="O5" s="2">
        <v>7</v>
      </c>
      <c r="P5" s="2">
        <v>6</v>
      </c>
      <c r="Q5" s="2">
        <v>8</v>
      </c>
      <c r="R5" s="2">
        <v>6</v>
      </c>
      <c r="S5" s="2">
        <v>6</v>
      </c>
      <c r="T5" s="10">
        <f>AVERAGE(Table13[[#This Row],[¿Cómo evalúa la eficiencia operativa de TeleVía en la gestión diaria de cruces y registro de transacciones?
]:[¿Qué probabilidades hay de que recomiende usar TeleVía?]])</f>
        <v>6.8125</v>
      </c>
      <c r="U5" s="2" t="s">
        <v>119</v>
      </c>
      <c r="V5" s="2" t="s">
        <v>120</v>
      </c>
      <c r="W5" s="2" t="s">
        <v>121</v>
      </c>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row>
    <row r="6" spans="1:70" ht="122.5" customHeight="1" x14ac:dyDescent="0.35">
      <c r="A6" s="2" t="s">
        <v>143</v>
      </c>
      <c r="B6" s="2" t="s">
        <v>44</v>
      </c>
      <c r="C6" s="2" t="s">
        <v>144</v>
      </c>
      <c r="D6" s="2">
        <v>8</v>
      </c>
      <c r="E6" s="2">
        <v>8</v>
      </c>
      <c r="F6" s="2">
        <v>7</v>
      </c>
      <c r="G6" s="2">
        <v>8</v>
      </c>
      <c r="H6" s="2">
        <v>7</v>
      </c>
      <c r="I6" s="2">
        <v>8</v>
      </c>
      <c r="J6" s="2">
        <v>8</v>
      </c>
      <c r="K6" s="2">
        <v>8</v>
      </c>
      <c r="L6" s="2">
        <v>8</v>
      </c>
      <c r="M6" s="2">
        <v>8</v>
      </c>
      <c r="N6" s="2">
        <v>9</v>
      </c>
      <c r="O6" s="2">
        <v>7</v>
      </c>
      <c r="P6" s="2">
        <v>7</v>
      </c>
      <c r="Q6" s="2">
        <v>8</v>
      </c>
      <c r="R6" s="2">
        <v>8</v>
      </c>
      <c r="S6" s="2">
        <v>9</v>
      </c>
      <c r="T6" s="10">
        <f>AVERAGE(Table13[[#This Row],[¿Cómo evalúa la eficiencia operativa de TeleVía en la gestión diaria de cruces y registro de transacciones?
]:[¿Qué probabilidades hay de que recomiende usar TeleVía?]])</f>
        <v>7.875</v>
      </c>
      <c r="U6" s="2" t="s">
        <v>145</v>
      </c>
      <c r="V6" s="2" t="s">
        <v>146</v>
      </c>
      <c r="W6" s="2" t="s">
        <v>147</v>
      </c>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row>
    <row r="7" spans="1:70" ht="122.5" customHeight="1" x14ac:dyDescent="0.35">
      <c r="A7" s="2" t="s">
        <v>157</v>
      </c>
      <c r="B7" s="2" t="s">
        <v>55</v>
      </c>
      <c r="C7" s="2" t="s">
        <v>72</v>
      </c>
      <c r="D7" s="2">
        <v>9</v>
      </c>
      <c r="E7" s="2">
        <v>9</v>
      </c>
      <c r="F7" s="2">
        <v>8</v>
      </c>
      <c r="G7" s="2">
        <v>9</v>
      </c>
      <c r="H7" s="2">
        <v>9</v>
      </c>
      <c r="I7" s="2">
        <v>8</v>
      </c>
      <c r="J7" s="2">
        <v>8</v>
      </c>
      <c r="K7" s="2">
        <v>8</v>
      </c>
      <c r="L7" s="2">
        <v>9</v>
      </c>
      <c r="M7" s="2">
        <v>10</v>
      </c>
      <c r="N7" s="2">
        <v>10</v>
      </c>
      <c r="O7" s="2">
        <v>9</v>
      </c>
      <c r="P7" s="2">
        <v>9</v>
      </c>
      <c r="Q7" s="2">
        <v>9</v>
      </c>
      <c r="R7" s="2">
        <v>9</v>
      </c>
      <c r="S7" s="2">
        <v>9</v>
      </c>
      <c r="T7" s="10">
        <f>AVERAGE(Table13[[#This Row],[¿Cómo evalúa la eficiencia operativa de TeleVía en la gestión diaria de cruces y registro de transacciones?
]:[¿Qué probabilidades hay de que recomiende usar TeleVía?]])</f>
        <v>8.875</v>
      </c>
      <c r="U7" s="2" t="s">
        <v>158</v>
      </c>
      <c r="V7" s="2" t="s">
        <v>159</v>
      </c>
      <c r="W7" s="2" t="s">
        <v>160</v>
      </c>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row>
    <row r="8" spans="1:70" ht="122.5" customHeight="1" x14ac:dyDescent="0.35">
      <c r="A8" s="2" t="s">
        <v>64</v>
      </c>
      <c r="B8" s="2" t="s">
        <v>65</v>
      </c>
      <c r="C8" s="2" t="s">
        <v>148</v>
      </c>
      <c r="D8" s="2">
        <v>8</v>
      </c>
      <c r="E8" s="2">
        <v>8</v>
      </c>
      <c r="F8" s="2">
        <v>8</v>
      </c>
      <c r="G8" s="2">
        <v>8</v>
      </c>
      <c r="H8" s="2">
        <v>6</v>
      </c>
      <c r="I8" s="2">
        <v>7</v>
      </c>
      <c r="J8" s="2">
        <v>8</v>
      </c>
      <c r="K8" s="2">
        <v>8</v>
      </c>
      <c r="L8" s="2">
        <v>8</v>
      </c>
      <c r="M8" s="2">
        <v>8</v>
      </c>
      <c r="N8" s="2">
        <v>9</v>
      </c>
      <c r="O8" s="2">
        <v>8</v>
      </c>
      <c r="P8" s="2">
        <v>9</v>
      </c>
      <c r="Q8" s="2">
        <v>7</v>
      </c>
      <c r="R8" s="2">
        <v>8</v>
      </c>
      <c r="S8" s="2">
        <v>9</v>
      </c>
      <c r="T8" s="10">
        <f>AVERAGE(Table13[[#This Row],[¿Cómo evalúa la eficiencia operativa de TeleVía en la gestión diaria de cruces y registro de transacciones?
]:[¿Qué probabilidades hay de que recomiende usar TeleVía?]])</f>
        <v>7.9375</v>
      </c>
      <c r="U8" s="2" t="s">
        <v>149</v>
      </c>
      <c r="V8" s="2" t="s">
        <v>150</v>
      </c>
      <c r="W8" s="2" t="s">
        <v>151</v>
      </c>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row>
    <row r="9" spans="1:70" ht="122.5" customHeight="1" x14ac:dyDescent="0.35">
      <c r="A9" s="2" t="s">
        <v>152</v>
      </c>
      <c r="B9" s="2" t="s">
        <v>65</v>
      </c>
      <c r="C9" s="2" t="s">
        <v>153</v>
      </c>
      <c r="D9" s="2">
        <v>8</v>
      </c>
      <c r="E9" s="2">
        <v>5</v>
      </c>
      <c r="F9" s="2">
        <v>9</v>
      </c>
      <c r="G9" s="2">
        <v>7</v>
      </c>
      <c r="H9" s="2">
        <v>7</v>
      </c>
      <c r="I9" s="2">
        <v>7</v>
      </c>
      <c r="J9" s="2">
        <v>8</v>
      </c>
      <c r="K9" s="2">
        <v>9</v>
      </c>
      <c r="L9" s="2">
        <v>9</v>
      </c>
      <c r="M9" s="2">
        <v>10</v>
      </c>
      <c r="N9" s="2">
        <v>8</v>
      </c>
      <c r="O9" s="2">
        <v>7</v>
      </c>
      <c r="P9" s="2">
        <v>8</v>
      </c>
      <c r="Q9" s="2">
        <v>7</v>
      </c>
      <c r="R9" s="2">
        <v>6</v>
      </c>
      <c r="S9" s="2">
        <v>7</v>
      </c>
      <c r="T9" s="10">
        <f>AVERAGE(Table13[[#This Row],[¿Cómo evalúa la eficiencia operativa de TeleVía en la gestión diaria de cruces y registro de transacciones?
]:[¿Qué probabilidades hay de que recomiende usar TeleVía?]])</f>
        <v>7.625</v>
      </c>
      <c r="U9" s="2" t="s">
        <v>154</v>
      </c>
      <c r="V9" s="2" t="s">
        <v>155</v>
      </c>
      <c r="W9" s="2" t="s">
        <v>156</v>
      </c>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row>
    <row r="10" spans="1:70" ht="122.5" customHeight="1" x14ac:dyDescent="0.35">
      <c r="A10" s="2" t="s">
        <v>132</v>
      </c>
      <c r="B10" s="2" t="s">
        <v>133</v>
      </c>
      <c r="C10" s="2" t="s">
        <v>134</v>
      </c>
      <c r="D10" s="2">
        <v>8</v>
      </c>
      <c r="E10" s="2">
        <v>7</v>
      </c>
      <c r="F10" s="2">
        <v>8</v>
      </c>
      <c r="G10" s="2">
        <v>8</v>
      </c>
      <c r="H10" s="2">
        <v>6</v>
      </c>
      <c r="I10" s="2">
        <v>7</v>
      </c>
      <c r="J10" s="2">
        <v>7</v>
      </c>
      <c r="K10" s="2">
        <v>8</v>
      </c>
      <c r="L10" s="2">
        <v>8</v>
      </c>
      <c r="M10" s="2">
        <v>8</v>
      </c>
      <c r="N10" s="2">
        <v>9</v>
      </c>
      <c r="O10" s="2">
        <v>8</v>
      </c>
      <c r="P10" s="2">
        <v>8</v>
      </c>
      <c r="Q10" s="2">
        <v>7</v>
      </c>
      <c r="R10" s="2">
        <v>7</v>
      </c>
      <c r="S10" s="2">
        <v>6</v>
      </c>
      <c r="T10" s="10">
        <f>AVERAGE(Table13[[#This Row],[¿Cómo evalúa la eficiencia operativa de TeleVía en la gestión diaria de cruces y registro de transacciones?
]:[¿Qué probabilidades hay de que recomiende usar TeleVía?]])</f>
        <v>7.5</v>
      </c>
      <c r="U10" s="2" t="s">
        <v>135</v>
      </c>
      <c r="V10" s="2" t="s">
        <v>136</v>
      </c>
      <c r="W10" s="2" t="s">
        <v>137</v>
      </c>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row>
    <row r="11" spans="1:70" ht="122.5" customHeight="1" x14ac:dyDescent="0.35">
      <c r="A11" s="2" t="s">
        <v>127</v>
      </c>
      <c r="B11" s="2" t="s">
        <v>71</v>
      </c>
      <c r="C11" s="2" t="s">
        <v>128</v>
      </c>
      <c r="D11" s="2">
        <v>8</v>
      </c>
      <c r="E11" s="2">
        <v>6</v>
      </c>
      <c r="F11" s="2">
        <v>7</v>
      </c>
      <c r="G11" s="2">
        <v>8</v>
      </c>
      <c r="H11" s="2">
        <v>6</v>
      </c>
      <c r="I11" s="2">
        <v>6</v>
      </c>
      <c r="J11" s="2">
        <v>6</v>
      </c>
      <c r="K11" s="2">
        <v>10</v>
      </c>
      <c r="L11" s="2">
        <v>10</v>
      </c>
      <c r="M11" s="2">
        <v>8</v>
      </c>
      <c r="N11" s="2">
        <v>10</v>
      </c>
      <c r="O11" s="2">
        <v>10</v>
      </c>
      <c r="P11" s="2">
        <v>10</v>
      </c>
      <c r="Q11" s="2">
        <v>8</v>
      </c>
      <c r="R11" s="2">
        <v>8</v>
      </c>
      <c r="S11" s="2">
        <v>9</v>
      </c>
      <c r="T11" s="10">
        <f>AVERAGE(Table13[[#This Row],[¿Cómo evalúa la eficiencia operativa de TeleVía en la gestión diaria de cruces y registro de transacciones?
]:[¿Qué probabilidades hay de que recomiende usar TeleVía?]])</f>
        <v>8.125</v>
      </c>
      <c r="U11" s="2" t="s">
        <v>129</v>
      </c>
      <c r="V11" s="2" t="s">
        <v>130</v>
      </c>
      <c r="W11" s="2" t="s">
        <v>131</v>
      </c>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row>
    <row r="12" spans="1:70" ht="122.5" customHeight="1" x14ac:dyDescent="0.35">
      <c r="A12" s="2" t="s">
        <v>138</v>
      </c>
      <c r="B12" s="2" t="s">
        <v>71</v>
      </c>
      <c r="C12" s="2" t="s">
        <v>139</v>
      </c>
      <c r="D12" s="2">
        <v>6</v>
      </c>
      <c r="E12" s="2">
        <v>6</v>
      </c>
      <c r="F12" s="2">
        <v>3</v>
      </c>
      <c r="G12" s="2">
        <v>8</v>
      </c>
      <c r="H12" s="2">
        <v>5</v>
      </c>
      <c r="I12" s="2">
        <v>6</v>
      </c>
      <c r="J12" s="2">
        <v>6</v>
      </c>
      <c r="K12" s="2">
        <v>7</v>
      </c>
      <c r="L12" s="2">
        <v>7</v>
      </c>
      <c r="M12" s="2">
        <v>10</v>
      </c>
      <c r="N12" s="2">
        <v>10</v>
      </c>
      <c r="O12" s="2">
        <v>7</v>
      </c>
      <c r="P12" s="2">
        <v>7</v>
      </c>
      <c r="Q12" s="2">
        <v>7</v>
      </c>
      <c r="R12" s="2">
        <v>6</v>
      </c>
      <c r="S12" s="2">
        <v>9</v>
      </c>
      <c r="T12" s="10">
        <f>AVERAGE(Table13[[#This Row],[¿Cómo evalúa la eficiencia operativa de TeleVía en la gestión diaria de cruces y registro de transacciones?
]:[¿Qué probabilidades hay de que recomiende usar TeleVía?]])</f>
        <v>6.875</v>
      </c>
      <c r="U12" s="2" t="s">
        <v>140</v>
      </c>
      <c r="V12" s="2" t="s">
        <v>141</v>
      </c>
      <c r="W12" s="2" t="s">
        <v>142</v>
      </c>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row>
    <row r="13" spans="1:70" ht="122.5" customHeight="1" x14ac:dyDescent="0.35">
      <c r="A13" s="2" t="s">
        <v>101</v>
      </c>
      <c r="B13" s="2" t="s">
        <v>77</v>
      </c>
      <c r="C13" s="2" t="s">
        <v>102</v>
      </c>
      <c r="D13" s="2">
        <v>8</v>
      </c>
      <c r="E13" s="2">
        <v>6</v>
      </c>
      <c r="F13" s="2">
        <v>7</v>
      </c>
      <c r="G13" s="2">
        <v>8</v>
      </c>
      <c r="H13" s="2">
        <v>8</v>
      </c>
      <c r="I13" s="2">
        <v>6</v>
      </c>
      <c r="J13" s="2">
        <v>6</v>
      </c>
      <c r="K13" s="2">
        <v>8</v>
      </c>
      <c r="L13" s="2">
        <v>7</v>
      </c>
      <c r="M13" s="2">
        <v>9</v>
      </c>
      <c r="N13" s="2">
        <v>6</v>
      </c>
      <c r="O13" s="2">
        <v>3</v>
      </c>
      <c r="P13" s="2">
        <v>2</v>
      </c>
      <c r="Q13" s="2">
        <v>2</v>
      </c>
      <c r="R13" s="2">
        <v>8</v>
      </c>
      <c r="S13" s="2">
        <v>7</v>
      </c>
      <c r="T13" s="10">
        <f>AVERAGE(Table13[[#This Row],[¿Cómo evalúa la eficiencia operativa de TeleVía en la gestión diaria de cruces y registro de transacciones?
]:[¿Qué probabilidades hay de que recomiende usar TeleVía?]])</f>
        <v>6.3125</v>
      </c>
      <c r="U13" s="2" t="s">
        <v>103</v>
      </c>
      <c r="V13" s="2" t="s">
        <v>104</v>
      </c>
      <c r="W13" s="2" t="s">
        <v>105</v>
      </c>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row>
    <row r="14" spans="1:70" ht="122.5" customHeight="1" x14ac:dyDescent="0.35">
      <c r="A14" s="2" t="s">
        <v>81</v>
      </c>
      <c r="B14" s="2" t="s">
        <v>77</v>
      </c>
      <c r="C14" s="2" t="s">
        <v>110</v>
      </c>
      <c r="D14" s="2">
        <v>7</v>
      </c>
      <c r="E14" s="2">
        <v>6</v>
      </c>
      <c r="F14" s="2">
        <v>7</v>
      </c>
      <c r="G14" s="2">
        <v>6</v>
      </c>
      <c r="H14" s="2">
        <v>8</v>
      </c>
      <c r="I14" s="2">
        <v>6</v>
      </c>
      <c r="J14" s="2">
        <v>6</v>
      </c>
      <c r="K14" s="2">
        <v>7</v>
      </c>
      <c r="L14" s="2">
        <v>7</v>
      </c>
      <c r="M14" s="2">
        <v>9</v>
      </c>
      <c r="N14" s="2">
        <v>8</v>
      </c>
      <c r="O14" s="2">
        <v>8</v>
      </c>
      <c r="P14" s="2">
        <v>9</v>
      </c>
      <c r="Q14" s="2">
        <v>9</v>
      </c>
      <c r="R14" s="2">
        <v>8</v>
      </c>
      <c r="S14" s="2">
        <v>8</v>
      </c>
      <c r="T14" s="10">
        <f>AVERAGE(Table13[[#This Row],[¿Cómo evalúa la eficiencia operativa de TeleVía en la gestión diaria de cruces y registro de transacciones?
]:[¿Qué probabilidades hay de que recomiende usar TeleVía?]])</f>
        <v>7.4375</v>
      </c>
      <c r="U14" s="2" t="s">
        <v>111</v>
      </c>
      <c r="V14" s="2" t="s">
        <v>112</v>
      </c>
      <c r="W14" s="2" t="s">
        <v>113</v>
      </c>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row>
    <row r="15" spans="1:70" ht="122.5" customHeight="1" x14ac:dyDescent="0.35">
      <c r="A15" s="2" t="s">
        <v>91</v>
      </c>
      <c r="B15" t="s">
        <v>86</v>
      </c>
      <c r="C15" s="2" t="s">
        <v>92</v>
      </c>
      <c r="D15" s="2">
        <v>7</v>
      </c>
      <c r="E15" s="2">
        <v>7</v>
      </c>
      <c r="F15" s="2">
        <v>6</v>
      </c>
      <c r="G15" s="2">
        <v>6</v>
      </c>
      <c r="H15" s="2">
        <v>7</v>
      </c>
      <c r="I15" s="2">
        <v>6</v>
      </c>
      <c r="J15" s="2">
        <v>6</v>
      </c>
      <c r="K15" s="2">
        <v>8</v>
      </c>
      <c r="L15" s="2">
        <v>7</v>
      </c>
      <c r="M15" s="2">
        <v>9</v>
      </c>
      <c r="N15" s="2">
        <v>7</v>
      </c>
      <c r="O15" s="2">
        <v>9</v>
      </c>
      <c r="P15" s="2">
        <v>8</v>
      </c>
      <c r="Q15" s="2">
        <v>7</v>
      </c>
      <c r="R15" s="2">
        <v>7</v>
      </c>
      <c r="S15" s="2">
        <v>7</v>
      </c>
      <c r="T15" s="10">
        <f>AVERAGE(Table13[[#This Row],[¿Cómo evalúa la eficiencia operativa de TeleVía en la gestión diaria de cruces y registro de transacciones?
]:[¿Qué probabilidades hay de que recomiende usar TeleVía?]])</f>
        <v>7.125</v>
      </c>
      <c r="U15" s="2" t="s">
        <v>93</v>
      </c>
      <c r="V15" s="2" t="s">
        <v>94</v>
      </c>
      <c r="W15" s="2" t="s">
        <v>95</v>
      </c>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row>
    <row r="16" spans="1:70" ht="122.5" customHeight="1" x14ac:dyDescent="0.35">
      <c r="A16" s="2" t="s">
        <v>96</v>
      </c>
      <c r="B16" t="s">
        <v>86</v>
      </c>
      <c r="C16" s="2" t="s">
        <v>97</v>
      </c>
      <c r="D16" s="2">
        <v>7</v>
      </c>
      <c r="E16" s="2">
        <v>6</v>
      </c>
      <c r="F16" s="2">
        <v>5</v>
      </c>
      <c r="G16" s="2">
        <v>6</v>
      </c>
      <c r="H16" s="2">
        <v>6</v>
      </c>
      <c r="I16" s="2">
        <v>7</v>
      </c>
      <c r="J16" s="2">
        <v>7</v>
      </c>
      <c r="K16" s="2">
        <v>8</v>
      </c>
      <c r="L16" s="2">
        <v>7</v>
      </c>
      <c r="M16" s="2">
        <v>9</v>
      </c>
      <c r="N16" s="2">
        <v>8</v>
      </c>
      <c r="O16" s="2">
        <v>8</v>
      </c>
      <c r="P16" s="2">
        <v>8</v>
      </c>
      <c r="Q16" s="2">
        <v>7</v>
      </c>
      <c r="R16" s="2">
        <v>8</v>
      </c>
      <c r="S16" s="2">
        <v>7</v>
      </c>
      <c r="T16" s="10">
        <f>AVERAGE(Table13[[#This Row],[¿Cómo evalúa la eficiencia operativa de TeleVía en la gestión diaria de cruces y registro de transacciones?
]:[¿Qué probabilidades hay de que recomiende usar TeleVía?]])</f>
        <v>7.125</v>
      </c>
      <c r="U16" s="2" t="s">
        <v>98</v>
      </c>
      <c r="V16" s="2" t="s">
        <v>99</v>
      </c>
      <c r="W16" s="2" t="s">
        <v>100</v>
      </c>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row>
    <row r="17" spans="1:70" ht="122.5" customHeight="1" x14ac:dyDescent="0.35">
      <c r="A17" s="2" t="s">
        <v>32</v>
      </c>
      <c r="B17" s="2" t="s">
        <v>114</v>
      </c>
      <c r="C17" s="2" t="s">
        <v>34</v>
      </c>
      <c r="D17" s="2">
        <v>8</v>
      </c>
      <c r="E17" s="2">
        <v>7</v>
      </c>
      <c r="F17" s="2">
        <v>6</v>
      </c>
      <c r="G17" s="2">
        <v>7</v>
      </c>
      <c r="H17" s="2">
        <v>6</v>
      </c>
      <c r="I17" s="2">
        <v>6</v>
      </c>
      <c r="J17" s="2">
        <v>6</v>
      </c>
      <c r="K17" s="2">
        <v>7</v>
      </c>
      <c r="L17" s="2">
        <v>7</v>
      </c>
      <c r="M17" s="2">
        <v>8</v>
      </c>
      <c r="N17" s="2">
        <v>7</v>
      </c>
      <c r="O17" s="2">
        <v>7</v>
      </c>
      <c r="P17" s="2">
        <v>6</v>
      </c>
      <c r="Q17" s="2">
        <v>6</v>
      </c>
      <c r="R17" s="2">
        <v>6</v>
      </c>
      <c r="S17" s="2">
        <v>7</v>
      </c>
      <c r="T17" s="10">
        <f>AVERAGE(Table13[[#This Row],[¿Cómo evalúa la eficiencia operativa de TeleVía en la gestión diaria de cruces y registro de transacciones?
]:[¿Qué probabilidades hay de que recomiende usar TeleVía?]])</f>
        <v>6.6875</v>
      </c>
      <c r="U17" s="2" t="s">
        <v>88</v>
      </c>
      <c r="V17" s="2" t="s">
        <v>115</v>
      </c>
      <c r="W17" s="2" t="s">
        <v>116</v>
      </c>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row>
    <row r="18" spans="1:70" ht="34.5" customHeight="1" x14ac:dyDescent="0.35">
      <c r="A18" s="12"/>
      <c r="B18" s="12"/>
      <c r="C18" s="12"/>
      <c r="D18" s="12">
        <f t="shared" ref="D18:R18" si="0">SUBTOTAL(101,D6:D17)</f>
        <v>7.666666666666667</v>
      </c>
      <c r="E18" s="12">
        <f t="shared" si="0"/>
        <v>6.75</v>
      </c>
      <c r="F18" s="12">
        <f t="shared" si="0"/>
        <v>6.75</v>
      </c>
      <c r="G18" s="12">
        <f t="shared" si="0"/>
        <v>7.416666666666667</v>
      </c>
      <c r="H18" s="12">
        <f t="shared" si="0"/>
        <v>6.75</v>
      </c>
      <c r="I18" s="12">
        <f t="shared" si="0"/>
        <v>6.666666666666667</v>
      </c>
      <c r="J18" s="12">
        <f t="shared" si="0"/>
        <v>6.833333333333333</v>
      </c>
      <c r="K18" s="12">
        <f t="shared" si="0"/>
        <v>8</v>
      </c>
      <c r="L18" s="12">
        <f t="shared" si="0"/>
        <v>7.833333333333333</v>
      </c>
      <c r="M18" s="12">
        <f t="shared" si="0"/>
        <v>8.8333333333333339</v>
      </c>
      <c r="N18" s="12">
        <f t="shared" si="0"/>
        <v>8.4166666666666661</v>
      </c>
      <c r="O18" s="12">
        <f t="shared" si="0"/>
        <v>7.583333333333333</v>
      </c>
      <c r="P18" s="12">
        <f t="shared" si="0"/>
        <v>7.583333333333333</v>
      </c>
      <c r="Q18" s="12">
        <f t="shared" si="0"/>
        <v>7</v>
      </c>
      <c r="R18" s="12">
        <f t="shared" si="0"/>
        <v>7.416666666666667</v>
      </c>
      <c r="S18" s="12">
        <f>SUBTOTAL(101,Table1[Total Promedio General])</f>
        <v>7.1277777777777773</v>
      </c>
      <c r="T18" s="12"/>
      <c r="U18" s="12"/>
      <c r="V18" s="12"/>
      <c r="W18" s="1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23FD5-332B-41C6-AA8F-F66535C135D4}">
  <dimension ref="A1:Q28"/>
  <sheetViews>
    <sheetView tabSelected="1" topLeftCell="A14" zoomScale="75" workbookViewId="0">
      <selection activeCell="P27" sqref="A27:P27"/>
    </sheetView>
  </sheetViews>
  <sheetFormatPr baseColWidth="10" defaultColWidth="11.453125" defaultRowHeight="14.5" x14ac:dyDescent="0.35"/>
  <sheetData>
    <row r="1" spans="1:15" ht="15" thickBot="1" x14ac:dyDescent="0.4">
      <c r="A1" s="3" t="s">
        <v>7</v>
      </c>
      <c r="B1" s="3" t="s">
        <v>8</v>
      </c>
      <c r="C1" s="3" t="s">
        <v>9</v>
      </c>
      <c r="D1" s="3" t="s">
        <v>10</v>
      </c>
      <c r="E1" s="3" t="s">
        <v>11</v>
      </c>
      <c r="F1" s="3" t="s">
        <v>12</v>
      </c>
      <c r="G1" s="3" t="s">
        <v>13</v>
      </c>
      <c r="H1" s="3" t="s">
        <v>14</v>
      </c>
      <c r="I1" s="3" t="s">
        <v>15</v>
      </c>
      <c r="J1" s="3" t="s">
        <v>16</v>
      </c>
      <c r="K1" s="3" t="s">
        <v>17</v>
      </c>
      <c r="L1" s="3" t="s">
        <v>18</v>
      </c>
      <c r="M1" s="3" t="s">
        <v>19</v>
      </c>
      <c r="N1" s="3" t="s">
        <v>20</v>
      </c>
      <c r="O1" s="3" t="s">
        <v>21</v>
      </c>
    </row>
    <row r="2" spans="1:15" s="4" customFormat="1" ht="15" thickTop="1" x14ac:dyDescent="0.35">
      <c r="A2" s="5">
        <v>7.083333333333333</v>
      </c>
      <c r="B2" s="5">
        <v>6.583333333333333</v>
      </c>
      <c r="C2" s="5">
        <v>6.25</v>
      </c>
      <c r="D2" s="5">
        <v>6.833333333333333</v>
      </c>
      <c r="E2" s="5">
        <v>5.75</v>
      </c>
      <c r="F2" s="5">
        <v>6.916666666666667</v>
      </c>
      <c r="G2" s="5">
        <v>6.5</v>
      </c>
      <c r="H2" s="5">
        <v>7.916666666666667</v>
      </c>
      <c r="I2" s="5">
        <v>7.416666666666667</v>
      </c>
      <c r="J2" s="5">
        <v>8.4166666666666661</v>
      </c>
      <c r="K2" s="5">
        <v>8.0833333333333339</v>
      </c>
      <c r="L2" s="6">
        <v>7.5</v>
      </c>
      <c r="M2" s="5">
        <v>7.416666666666667</v>
      </c>
      <c r="N2" s="5">
        <v>7.333333333333333</v>
      </c>
      <c r="O2" s="5">
        <v>6.916666666666667</v>
      </c>
    </row>
    <row r="27" spans="1:17" s="14" customFormat="1" ht="17.5" customHeight="1" x14ac:dyDescent="0.35">
      <c r="A27" s="13" t="s">
        <v>7</v>
      </c>
      <c r="B27" s="14" t="s">
        <v>8</v>
      </c>
      <c r="C27" s="14" t="s">
        <v>9</v>
      </c>
      <c r="D27" s="14" t="s">
        <v>10</v>
      </c>
      <c r="E27" s="14" t="s">
        <v>11</v>
      </c>
      <c r="F27" s="14" t="s">
        <v>12</v>
      </c>
      <c r="G27" s="14" t="s">
        <v>13</v>
      </c>
      <c r="H27" s="14" t="s">
        <v>14</v>
      </c>
      <c r="I27" s="14" t="s">
        <v>15</v>
      </c>
      <c r="J27" s="14" t="s">
        <v>16</v>
      </c>
      <c r="K27" s="14" t="s">
        <v>17</v>
      </c>
      <c r="L27" s="14" t="s">
        <v>18</v>
      </c>
      <c r="M27" s="14" t="s">
        <v>19</v>
      </c>
      <c r="N27" s="14" t="s">
        <v>20</v>
      </c>
      <c r="O27" s="14" t="s">
        <v>21</v>
      </c>
      <c r="P27" s="14" t="s">
        <v>90</v>
      </c>
      <c r="Q27" s="10"/>
    </row>
    <row r="28" spans="1:17" x14ac:dyDescent="0.35">
      <c r="A28" s="5">
        <v>7.666666666666667</v>
      </c>
      <c r="B28" s="5">
        <v>6.75</v>
      </c>
      <c r="C28" s="5">
        <v>6.75</v>
      </c>
      <c r="D28" s="5">
        <v>7.416666666666667</v>
      </c>
      <c r="E28" s="5">
        <v>6.75</v>
      </c>
      <c r="F28" s="5">
        <v>6.666666666666667</v>
      </c>
      <c r="G28" s="5">
        <v>6.833333333333333</v>
      </c>
      <c r="H28" s="5">
        <v>8</v>
      </c>
      <c r="I28" s="5">
        <v>7.833333333333333</v>
      </c>
      <c r="J28" s="5">
        <v>8.8333333333333339</v>
      </c>
      <c r="K28" s="5">
        <v>8.4166666666666661</v>
      </c>
      <c r="L28" s="5">
        <v>7.583333333333333</v>
      </c>
      <c r="M28" s="5">
        <v>7.583333333333333</v>
      </c>
      <c r="N28" s="5">
        <v>7</v>
      </c>
      <c r="O28" s="5">
        <v>7.416666666666667</v>
      </c>
      <c r="P28" s="5">
        <v>7.1277777777777773</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BBEED1BEF779141BDD136208BE40B2E" ma:contentTypeVersion="3" ma:contentTypeDescription="Crear nuevo documento." ma:contentTypeScope="" ma:versionID="4ae48482a37a35c00ab0c754bb71dc15">
  <xsd:schema xmlns:xsd="http://www.w3.org/2001/XMLSchema" xmlns:xs="http://www.w3.org/2001/XMLSchema" xmlns:p="http://schemas.microsoft.com/office/2006/metadata/properties" xmlns:ns2="a6521c69-eb20-4891-b05c-d543954a80b3" targetNamespace="http://schemas.microsoft.com/office/2006/metadata/properties" ma:root="true" ma:fieldsID="4443c95b3b23dba2a3c8491bf5160e23" ns2:_="">
    <xsd:import namespace="a6521c69-eb20-4891-b05c-d543954a80b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521c69-eb20-4891-b05c-d543954a8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AC5EF5D-AC58-4F2D-B3DD-A6AA11D4BAC8}">
  <ds:schemaRefs>
    <ds:schemaRef ds:uri="http://schemas.microsoft.com/sharepoint/v3/contenttype/forms"/>
  </ds:schemaRefs>
</ds:datastoreItem>
</file>

<file path=customXml/itemProps2.xml><?xml version="1.0" encoding="utf-8"?>
<ds:datastoreItem xmlns:ds="http://schemas.openxmlformats.org/officeDocument/2006/customXml" ds:itemID="{23C40EF8-1BC5-4B29-91FA-34FDC9E82F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521c69-eb20-4891-b05c-d543954a80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14A92E5-C33D-40AB-A5CA-B96D81A7DD15}">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Calificaciones Q1</vt:lpstr>
      <vt:lpstr>Calificaciones Q2</vt:lpstr>
      <vt:lpstr>Analisis grafico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Jose Manuel Cuellar Arzaluz</dc:creator>
  <cp:keywords/>
  <dc:description/>
  <cp:lastModifiedBy>Jose Manuel Cuellar Arzaluz</cp:lastModifiedBy>
  <cp:revision/>
  <dcterms:created xsi:type="dcterms:W3CDTF">2026-05-11T20:36:01Z</dcterms:created>
  <dcterms:modified xsi:type="dcterms:W3CDTF">2026-07-17T17:22:14Z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d6e777-56f8-41fd-a879-d5827b955212_Enabled">
    <vt:lpwstr>true</vt:lpwstr>
  </property>
  <property fmtid="{D5CDD505-2E9C-101B-9397-08002B2CF9AE}" pid="3" name="MSIP_Label_16d6e777-56f8-41fd-a879-d5827b955212_SetDate">
    <vt:lpwstr>2026-05-11T20:36:28Z</vt:lpwstr>
  </property>
  <property fmtid="{D5CDD505-2E9C-101B-9397-08002B2CF9AE}" pid="4" name="MSIP_Label_16d6e777-56f8-41fd-a879-d5827b955212_Method">
    <vt:lpwstr>Privileged</vt:lpwstr>
  </property>
  <property fmtid="{D5CDD505-2E9C-101B-9397-08002B2CF9AE}" pid="5" name="MSIP_Label_16d6e777-56f8-41fd-a879-d5827b955212_Name">
    <vt:lpwstr>Datos Personales No – Interno</vt:lpwstr>
  </property>
  <property fmtid="{D5CDD505-2E9C-101B-9397-08002B2CF9AE}" pid="6" name="MSIP_Label_16d6e777-56f8-41fd-a879-d5827b955212_SiteId">
    <vt:lpwstr>31bccd97-6329-436e-bfcc-a12e878d1c9b</vt:lpwstr>
  </property>
  <property fmtid="{D5CDD505-2E9C-101B-9397-08002B2CF9AE}" pid="7" name="MSIP_Label_16d6e777-56f8-41fd-a879-d5827b955212_ActionId">
    <vt:lpwstr>4b6b9b38-7787-4a98-afc1-def8ff89ccb5</vt:lpwstr>
  </property>
  <property fmtid="{D5CDD505-2E9C-101B-9397-08002B2CF9AE}" pid="8" name="MSIP_Label_16d6e777-56f8-41fd-a879-d5827b955212_ContentBits">
    <vt:lpwstr>2</vt:lpwstr>
  </property>
  <property fmtid="{D5CDD505-2E9C-101B-9397-08002B2CF9AE}" pid="9" name="MSIP_Label_16d6e777-56f8-41fd-a879-d5827b955212_Tag">
    <vt:lpwstr>10, 0, 1, 1</vt:lpwstr>
  </property>
  <property fmtid="{D5CDD505-2E9C-101B-9397-08002B2CF9AE}" pid="10" name="ContentTypeId">
    <vt:lpwstr>0x010100BBBEED1BEF779141BDD136208BE40B2E</vt:lpwstr>
  </property>
</Properties>
</file>